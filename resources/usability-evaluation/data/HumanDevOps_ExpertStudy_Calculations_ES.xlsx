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jlop\Universidad\doctorado\trabajo 10 Human Devops\revision2\"/>
    </mc:Choice>
  </mc:AlternateContent>
  <xr:revisionPtr revIDLastSave="0" documentId="13_ncr:1_{14684076-F831-42F3-AE5E-D3ED649AF748}" xr6:coauthVersionLast="47" xr6:coauthVersionMax="47" xr10:uidLastSave="{00000000-0000-0000-0000-000000000000}"/>
  <bookViews>
    <workbookView xWindow="-120" yWindow="-120" windowWidth="29040" windowHeight="15720" activeTab="2" xr2:uid="{2ABC4170-BB3B-4E21-81C2-519503BDDA71}"/>
  </bookViews>
  <sheets>
    <sheet name="SUS" sheetId="1" r:id="rId1"/>
    <sheet name="ISO 9241-11" sheetId="2" r:id="rId2"/>
    <sheet name="TAM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" i="4" l="1"/>
  <c r="P9" i="2"/>
  <c r="N24" i="1"/>
  <c r="G27" i="2"/>
  <c r="F27" i="2"/>
  <c r="M28" i="2"/>
  <c r="L28" i="2"/>
  <c r="L23" i="1" l="1"/>
  <c r="M23" i="1" s="1"/>
  <c r="N23" i="1" s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5" i="2"/>
  <c r="H6" i="2"/>
  <c r="H7" i="2"/>
  <c r="H8" i="2"/>
  <c r="H9" i="2"/>
  <c r="H10" i="2"/>
  <c r="P10" i="2" s="1"/>
  <c r="H11" i="2"/>
  <c r="H12" i="2"/>
  <c r="H13" i="2"/>
  <c r="H14" i="2"/>
  <c r="H15" i="2"/>
  <c r="P15" i="2" s="1"/>
  <c r="H16" i="2"/>
  <c r="H17" i="2"/>
  <c r="P17" i="2" s="1"/>
  <c r="H18" i="2"/>
  <c r="P18" i="2" s="1"/>
  <c r="H19" i="2"/>
  <c r="H20" i="2"/>
  <c r="H21" i="2"/>
  <c r="H22" i="2"/>
  <c r="H23" i="2"/>
  <c r="H5" i="2"/>
  <c r="M29" i="2"/>
  <c r="L29" i="2"/>
  <c r="M27" i="2"/>
  <c r="M26" i="2" s="1"/>
  <c r="L27" i="2"/>
  <c r="L26" i="2" s="1"/>
  <c r="I27" i="2"/>
  <c r="I39" i="2" s="1"/>
  <c r="I38" i="2" s="1"/>
  <c r="H27" i="2"/>
  <c r="H39" i="2" s="1"/>
  <c r="H38" i="2" s="1"/>
  <c r="G25" i="2"/>
  <c r="F25" i="2"/>
  <c r="G24" i="2"/>
  <c r="F24" i="2"/>
  <c r="E24" i="2"/>
  <c r="Q23" i="2"/>
  <c r="R23" i="2" s="1"/>
  <c r="O23" i="2"/>
  <c r="N23" i="2"/>
  <c r="Q22" i="2"/>
  <c r="R22" i="2" s="1"/>
  <c r="O22" i="2"/>
  <c r="N22" i="2"/>
  <c r="Q21" i="2"/>
  <c r="R21" i="2" s="1"/>
  <c r="O21" i="2"/>
  <c r="N21" i="2"/>
  <c r="Q20" i="2"/>
  <c r="R20" i="2" s="1"/>
  <c r="O20" i="2"/>
  <c r="N20" i="2"/>
  <c r="Q19" i="2"/>
  <c r="R19" i="2" s="1"/>
  <c r="O19" i="2"/>
  <c r="N19" i="2"/>
  <c r="Q18" i="2"/>
  <c r="R18" i="2" s="1"/>
  <c r="O18" i="2"/>
  <c r="N18" i="2"/>
  <c r="Q17" i="2"/>
  <c r="R17" i="2" s="1"/>
  <c r="O17" i="2"/>
  <c r="N17" i="2"/>
  <c r="Q16" i="2"/>
  <c r="R16" i="2" s="1"/>
  <c r="O16" i="2"/>
  <c r="N16" i="2"/>
  <c r="Q15" i="2"/>
  <c r="R15" i="2" s="1"/>
  <c r="O15" i="2"/>
  <c r="N15" i="2"/>
  <c r="Q14" i="2"/>
  <c r="R14" i="2" s="1"/>
  <c r="O14" i="2"/>
  <c r="N14" i="2"/>
  <c r="Q13" i="2"/>
  <c r="R13" i="2" s="1"/>
  <c r="O13" i="2"/>
  <c r="N13" i="2"/>
  <c r="Q12" i="2"/>
  <c r="R12" i="2" s="1"/>
  <c r="O12" i="2"/>
  <c r="N12" i="2"/>
  <c r="P12" i="2"/>
  <c r="Q11" i="2"/>
  <c r="R11" i="2" s="1"/>
  <c r="P11" i="2"/>
  <c r="O11" i="2"/>
  <c r="N11" i="2"/>
  <c r="Q10" i="2"/>
  <c r="R10" i="2" s="1"/>
  <c r="O10" i="2"/>
  <c r="N10" i="2"/>
  <c r="Q9" i="2"/>
  <c r="R9" i="2" s="1"/>
  <c r="O9" i="2"/>
  <c r="N9" i="2"/>
  <c r="Q8" i="2"/>
  <c r="R8" i="2" s="1"/>
  <c r="O8" i="2"/>
  <c r="N8" i="2"/>
  <c r="Q7" i="2"/>
  <c r="R7" i="2" s="1"/>
  <c r="O7" i="2"/>
  <c r="N7" i="2"/>
  <c r="Q6" i="2"/>
  <c r="R6" i="2" s="1"/>
  <c r="O6" i="2"/>
  <c r="N6" i="2"/>
  <c r="Q5" i="2"/>
  <c r="O5" i="2"/>
  <c r="N5" i="2"/>
  <c r="P14" i="2" l="1"/>
  <c r="P13" i="2"/>
  <c r="I24" i="2"/>
  <c r="H25" i="2"/>
  <c r="H36" i="2" s="1"/>
  <c r="I37" i="2"/>
  <c r="P23" i="2"/>
  <c r="P22" i="2"/>
  <c r="P21" i="2"/>
  <c r="P16" i="2"/>
  <c r="P8" i="2"/>
  <c r="P7" i="2"/>
  <c r="P20" i="2"/>
  <c r="I25" i="2"/>
  <c r="I36" i="2" s="1"/>
  <c r="P19" i="2"/>
  <c r="P5" i="2"/>
  <c r="I35" i="2"/>
  <c r="I40" i="2" s="1"/>
  <c r="I41" i="2" s="1"/>
  <c r="I42" i="2" s="1"/>
  <c r="H35" i="2"/>
  <c r="H37" i="2"/>
  <c r="Q24" i="2"/>
  <c r="R24" i="2" s="1"/>
  <c r="O24" i="2"/>
  <c r="N24" i="2"/>
  <c r="R5" i="2"/>
  <c r="H24" i="2"/>
  <c r="P6" i="2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M30" i="1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B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B32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B30" i="4"/>
  <c r="H40" i="2" l="1"/>
  <c r="H41" i="2" s="1"/>
  <c r="H42" i="2" s="1"/>
  <c r="P24" i="2"/>
  <c r="AK6" i="4" l="1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5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5" i="4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T24" i="4" l="1"/>
  <c r="AE24" i="4"/>
  <c r="N9" i="1"/>
  <c r="N10" i="1"/>
  <c r="N16" i="1"/>
  <c r="N22" i="1"/>
  <c r="N15" i="1"/>
  <c r="N19" i="1"/>
  <c r="N18" i="1"/>
  <c r="N17" i="1"/>
  <c r="N14" i="1"/>
  <c r="N21" i="1"/>
  <c r="N20" i="1"/>
  <c r="N13" i="1"/>
  <c r="N12" i="1"/>
  <c r="N11" i="1"/>
  <c r="S24" i="4"/>
  <c r="R24" i="4"/>
  <c r="AB24" i="4"/>
  <c r="Y25" i="4"/>
  <c r="AC24" i="4"/>
  <c r="AC25" i="4" s="1"/>
  <c r="AG24" i="4"/>
  <c r="AG25" i="4" s="1"/>
  <c r="AH24" i="4"/>
  <c r="AA24" i="4"/>
  <c r="U24" i="4"/>
  <c r="U25" i="4" s="1"/>
  <c r="AD24" i="4"/>
  <c r="Z24" i="4"/>
  <c r="X24" i="4"/>
  <c r="AJ24" i="4"/>
  <c r="W24" i="4"/>
  <c r="AI24" i="4"/>
  <c r="V24" i="4"/>
  <c r="AF24" i="4"/>
  <c r="AK24" i="4"/>
  <c r="AK25" i="4" s="1"/>
  <c r="O24" i="1"/>
  <c r="O25" i="1" s="1"/>
  <c r="L24" i="1"/>
  <c r="N6" i="1"/>
  <c r="N8" i="1"/>
  <c r="N7" i="1"/>
  <c r="M5" i="1"/>
  <c r="M29" i="1" l="1"/>
  <c r="M27" i="1"/>
  <c r="M24" i="1"/>
  <c r="M28" i="1" s="1"/>
  <c r="N5" i="1"/>
  <c r="M32" i="1" l="1"/>
  <c r="M33" i="1" s="1"/>
  <c r="M34" i="1" s="1"/>
</calcChain>
</file>

<file path=xl/sharedStrings.xml><?xml version="1.0" encoding="utf-8"?>
<sst xmlns="http://schemas.openxmlformats.org/spreadsheetml/2006/main" count="190" uniqueCount="135">
  <si>
    <t>SUS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</si>
  <si>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</si>
  <si>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</si>
  <si>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</si>
  <si>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</si>
  <si>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</si>
  <si>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</si>
  <si>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</si>
  <si>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</si>
  <si>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</si>
  <si>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</si>
  <si>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</si>
  <si>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</si>
  <si>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</si>
  <si>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</si>
  <si>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</si>
  <si>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</si>
  <si>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</si>
  <si>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</si>
  <si>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</si>
  <si>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</si>
  <si>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Participant</t>
  </si>
  <si>
    <t>I think I would like to use this system frequently.</t>
  </si>
  <si>
    <t>I found the system unnecessarily complex.</t>
  </si>
  <si>
    <t>I thought the system was easy to use.</t>
  </si>
  <si>
    <t>I think I would need the support of a technician to be able to use this system.</t>
  </si>
  <si>
    <t>I found that the various functions of the system were well integrated.</t>
  </si>
  <si>
    <t>I thought there was too much inconsistency in this system.</t>
  </si>
  <si>
    <t>I imagine that most people would learn how to use this system very quickly.</t>
  </si>
  <si>
    <t>I found the system very complicated to use.</t>
  </si>
  <si>
    <t>I felt very confident using the system.</t>
  </si>
  <si>
    <t>I needed to learn many things before starting with this system.</t>
  </si>
  <si>
    <t>Adjusted Sum</t>
  </si>
  <si>
    <t>Interpretation</t>
  </si>
  <si>
    <t>Cronbach's alpha</t>
  </si>
  <si>
    <t>TOTAL</t>
  </si>
  <si>
    <t>Sample size</t>
  </si>
  <si>
    <t>Mean of log times</t>
  </si>
  <si>
    <t>Standard deviation:</t>
  </si>
  <si>
    <t>Benchmark</t>
  </si>
  <si>
    <t>T</t>
  </si>
  <si>
    <t>One-tailed test</t>
  </si>
  <si>
    <t>Percentage</t>
  </si>
  <si>
    <t>ISO 9241-11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</si>
  <si>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</si>
  <si>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</si>
  <si>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</si>
  <si>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</si>
  <si>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</si>
  <si>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</si>
  <si>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</si>
  <si>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</si>
  <si>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</si>
  <si>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</si>
  <si>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Parcicipant</t>
  </si>
  <si>
    <t>Have you finally learnt the features of the system?</t>
  </si>
  <si>
    <t>Have you completed task 1 (finding out which actions have a priority of 100%)?</t>
  </si>
  <si>
    <t>Have you completed task 2 (finding out which human factor has the most negative score within the development team)?</t>
  </si>
  <si>
    <t>How long in seconds did it take you to understand the Human DevOps documentation?</t>
  </si>
  <si>
    <t>How long in seconds did it take you to complete task 1 (find out which actions have a priority of 100%?</t>
  </si>
  <si>
    <t>How long in seconds did it take you to complete task 2 (find out which human factor has the most negative score within the development team)?</t>
  </si>
  <si>
    <t>LN P5</t>
  </si>
  <si>
    <t>LN P6</t>
  </si>
  <si>
    <t>How many times did you need help to complete task 1 (finding out which actions have a priority of 100%)?</t>
  </si>
  <si>
    <t xml:space="preserve">How many times did you need help to complete task 2 (finding out which human factor has the most negative score within the development team)? </t>
  </si>
  <si>
    <t>How many times did you make a mistake when performing task 1 (finding out which actions have a priority of 100%)?</t>
  </si>
  <si>
    <t>How many times did you make a mistake when completing task 2 (finding the human factor with the most negative score within the development team)?</t>
  </si>
  <si>
    <t>Help Requests per Task</t>
  </si>
  <si>
    <t>% Effectiveness</t>
  </si>
  <si>
    <t>Efficiency (s)</t>
  </si>
  <si>
    <t>Satisfaction (SUS)</t>
  </si>
  <si>
    <t>SUS interpretation</t>
  </si>
  <si>
    <t>Ideal time task 1</t>
  </si>
  <si>
    <t>Ideal time task 2</t>
  </si>
  <si>
    <t>Arithmetic mean</t>
  </si>
  <si>
    <t>Geometric mean</t>
  </si>
  <si>
    <t>Expert time</t>
  </si>
  <si>
    <t>Percentage of tasks completed without committing errors</t>
  </si>
  <si>
    <t>twice the time of an expert</t>
  </si>
  <si>
    <t>P de Binomial</t>
  </si>
  <si>
    <t>Standard deviation of log times:</t>
  </si>
  <si>
    <t>Log of benchmark:</t>
  </si>
  <si>
    <t>TAM</t>
  </si>
  <si>
    <t>P11</t>
  </si>
  <si>
    <t>P12</t>
  </si>
  <si>
    <t>P13</t>
  </si>
  <si>
    <t>P14</t>
  </si>
  <si>
    <t>P15</t>
  </si>
  <si>
    <t>P16</t>
  </si>
  <si>
    <t>PEOU   (P1, P2, P9, P10)</t>
  </si>
  <si>
    <t>PU (P3, P4, P5, P6, P7)</t>
  </si>
  <si>
    <t>ATU (P8, P11, P12)</t>
  </si>
  <si>
    <t>IU (P13, P14, P15, P16)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</si>
  <si>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</si>
  <si>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</si>
  <si>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</si>
  <si>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</si>
  <si>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</si>
  <si>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</si>
  <si>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</si>
  <si>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</si>
  <si>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</si>
  <si>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</si>
  <si>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</si>
  <si>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</si>
  <si>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</si>
  <si>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</si>
  <si>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</si>
  <si>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</si>
  <si>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Perceived ease of use</t>
  </si>
  <si>
    <t>Perceived utility</t>
  </si>
  <si>
    <t>Attitude towards use</t>
  </si>
  <si>
    <t>Intended use</t>
  </si>
  <si>
    <t>Do you consider that the tool requires little training to use it effectively?</t>
  </si>
  <si>
    <t>How would you rate the ease of navigation within the tool's interface?</t>
  </si>
  <si>
    <t>To what extent do you believe that using this tool increases your productivity?</t>
  </si>
  <si>
    <t xml:space="preserve">Does using the tool improve the quality of the projects you work on? </t>
  </si>
  <si>
    <t>I would use ‘Human DevOps’ if I needed to assess the psychological and emotional wellbeing of development and operations teams.</t>
  </si>
  <si>
    <t>I would use ‘Human DevOps’ to improve team wellbeing in software engineering environments.</t>
  </si>
  <si>
    <t xml:space="preserve">Would you recommend ‘Human DevOps’ to other colleagues in the industry? </t>
  </si>
  <si>
    <t>If it were available, I would like to use it in the company where I work.</t>
  </si>
  <si>
    <t>Overall, I found the application intuitive.</t>
  </si>
  <si>
    <t>I can easily identify the actions that need to be taken and the negative human factors present in the DevOps team.</t>
  </si>
  <si>
    <t>Using Human DevOps would help me make better decisions about the team's wellbeing.</t>
  </si>
  <si>
    <t>Human DevOps would be a valuable resource for managing the psychological aspects of software development teams.</t>
  </si>
  <si>
    <t>I would use Human DevOps to monitor and improve team dynamics over time.</t>
  </si>
  <si>
    <t>I would use Human DevOps as part of my regular workflow to support team health and performance.</t>
  </si>
  <si>
    <t>I will likely suggest adopting Human DevOps in future team projects.</t>
  </si>
  <si>
    <t>I see myself becoming a regular user of Human DevOps if it proves to be effective.</t>
  </si>
  <si>
    <t>M</t>
  </si>
  <si>
    <t>SD</t>
  </si>
  <si>
    <t>Md</t>
  </si>
  <si>
    <t/>
  </si>
  <si>
    <t>p</t>
  </si>
  <si>
    <t>&lt;0,001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</si>
</sst>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1"/>
    <xf numFmtId="0" fontId="2" fillId="0" borderId="0" xfId="1" applyAlignment="1">
      <alignment horizontal="center" vertical="center" wrapText="1"/>
    </xf>
    <xf numFmtId="2" fontId="2" fillId="0" borderId="0" xfId="1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0" xfId="0" applyNumberFormat="1" applyAlignment="1">
      <alignment horizontal="center"/>
    </xf>
    <xf numFmtId="2" fontId="2" fillId="0" borderId="1" xfId="1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F07EACBA-0439-45F1-8B5E-B703B84CA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lop\Universidad\doctorado\trabajo%2010%20Human%20Devops\revision2\evaluacion\Libro1.xlsx" TargetMode="External"/><Relationship Id="rId1" Type="http://schemas.openxmlformats.org/officeDocument/2006/relationships/externalLinkPath" Target="evaluacion/Libr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S"/>
      <sheetName val="ISO 9241-11"/>
      <sheetName val="TAM"/>
      <sheetName val="Hoja1"/>
    </sheetNames>
    <sheetDataSet>
      <sheetData sheetId="0">
        <row r="5">
          <cell r="M5">
            <v>80</v>
          </cell>
        </row>
        <row r="6">
          <cell r="M6">
            <v>90</v>
          </cell>
        </row>
        <row r="7">
          <cell r="M7">
            <v>87.5</v>
          </cell>
        </row>
        <row r="8">
          <cell r="M8">
            <v>77.5</v>
          </cell>
        </row>
        <row r="9">
          <cell r="M9">
            <v>90</v>
          </cell>
        </row>
        <row r="10">
          <cell r="M10">
            <v>82.5</v>
          </cell>
        </row>
        <row r="11">
          <cell r="M11">
            <v>37.5</v>
          </cell>
        </row>
        <row r="12">
          <cell r="M12">
            <v>92.5</v>
          </cell>
        </row>
        <row r="14">
          <cell r="M14">
            <v>95</v>
          </cell>
        </row>
        <row r="15">
          <cell r="M15">
            <v>95</v>
          </cell>
        </row>
        <row r="16">
          <cell r="M16">
            <v>85</v>
          </cell>
        </row>
        <row r="17">
          <cell r="M17">
            <v>80</v>
          </cell>
        </row>
        <row r="18">
          <cell r="M18">
            <v>87.5</v>
          </cell>
        </row>
        <row r="19">
          <cell r="M19">
            <v>85</v>
          </cell>
        </row>
        <row r="20">
          <cell r="M20">
            <v>90</v>
          </cell>
        </row>
        <row r="21">
          <cell r="M21">
            <v>65</v>
          </cell>
        </row>
        <row r="22">
          <cell r="M22">
            <v>95</v>
          </cell>
        </row>
        <row r="23">
          <cell r="M23">
            <v>95</v>
          </cell>
        </row>
        <row r="24">
          <cell r="M24">
            <v>87.5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8F7F-61CF-4A18-8990-7ECDB8626338}">
  <dimension ref="A1:O34"/>
  <sheetViews>
    <sheetView zoomScale="85" zoomScaleNormal="85" workbookViewId="0">
      <selection activeCell="K34" sqref="K34"/>
    </sheetView>
  </sheetViews>
  <sheetFormatPr baseColWidth="10" defaultColWidth="11.42578125" defaultRowHeight="15"/>
  <cols>
    <col min="1" max="1" width="13" customWidth="1"/>
    <col min="2" max="2" width="18.85546875" customWidth="1"/>
    <col min="3" max="3" width="16.140625" customWidth="1"/>
    <col min="4" max="4" width="18.85546875" customWidth="1"/>
    <col min="5" max="5" width="23.42578125" customWidth="1"/>
    <col min="6" max="6" width="20.5703125" customWidth="1"/>
    <col min="7" max="7" width="19.7109375" customWidth="1"/>
    <col min="8" max="8" width="20.42578125" customWidth="1"/>
    <col min="9" max="9" width="19.85546875" customWidth="1"/>
    <col min="10" max="10" width="21.140625" customWidth="1"/>
    <col min="11" max="11" width="22.42578125" customWidth="1"/>
    <col min="12" max="12" width="16.42578125" customWidth="1"/>
    <col min="13" max="13" width="10.85546875" customWidth="1"/>
    <col min="14" max="14" width="16.7109375" customWidth="1"/>
    <col min="15" max="15" width="19.28515625" customWidth="1"/>
    <col min="16" max="16" width="13.5703125" bestFit="1" customWidth="1"/>
  </cols>
  <sheetData>
    <row r="1" spans="1:15">
      <c r="A1" s="3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5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5" ht="76.150000000000006" customHeight="1">
      <c r="A4" s="2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2" t="s">
        <v>32</v>
      </c>
      <c r="M4" s="2" t="s">
        <v>0</v>
      </c>
      <c r="N4" s="2" t="s">
        <v>33</v>
      </c>
      <c r="O4" s="2" t="s">
        <v>34</v>
      </c>
    </row>
    <row r="5" spans="1:15">
      <c r="A5" s="1">
        <v>1</v>
      </c>
      <c r="B5" s="1">
        <v>4</v>
      </c>
      <c r="C5" s="1">
        <v>1</v>
      </c>
      <c r="D5" s="1">
        <v>5</v>
      </c>
      <c r="E5" s="1">
        <v>1</v>
      </c>
      <c r="F5" s="1">
        <v>4</v>
      </c>
      <c r="G5" s="1">
        <v>1</v>
      </c>
      <c r="H5" s="1">
        <v>5</v>
      </c>
      <c r="I5" s="1">
        <v>1</v>
      </c>
      <c r="J5" s="1">
        <v>5</v>
      </c>
      <c r="K5" s="1">
        <v>1</v>
      </c>
      <c r="L5" s="1">
        <f t="shared" ref="L5:L23" si="0">(B5-1)+(5-C5)+(D5-1)+(5-E5)+(F5-1)+(5-G5)+(H5-1)+(5-I5)+(J5-1)+(5-K5)</f>
        <v>38</v>
      </c>
      <c r="M5" s="1">
        <f>L5*2.5</f>
        <v>95</v>
      </c>
      <c r="N5" s="1" t="str">
        <f>IF(M5&lt;51.7,"F (Poor)",
 IF(M5&lt;62.6,"D (Bad)",
 IF(M5&lt;64.9,"C- (Low)",
 IF(M5&lt;71,"C (Average)",
 IF(M5&lt;72.5,"C+ (Average+)",
 IF(M5&lt;74,"B- (Good)",
 IF(M5&lt;77.1,"B (Good)",
 IF(M5&lt;78.8,"B+ (Good+)",
 IF(M5&lt;80.7,"A- (Very Good)",
 IF(M5&lt;84,"A (Excellent)",
 "A+ (Outstanding)"))))))))))</f>
        <v>A+ (Outstanding)</v>
      </c>
    </row>
    <row r="6" spans="1:15">
      <c r="A6" s="1">
        <v>2</v>
      </c>
      <c r="B6" s="1">
        <v>5</v>
      </c>
      <c r="C6" s="1">
        <v>1</v>
      </c>
      <c r="D6" s="1">
        <v>5</v>
      </c>
      <c r="E6" s="1">
        <v>1</v>
      </c>
      <c r="F6" s="1">
        <v>5</v>
      </c>
      <c r="G6" s="1">
        <v>1</v>
      </c>
      <c r="H6" s="1">
        <v>5</v>
      </c>
      <c r="I6" s="1">
        <v>1</v>
      </c>
      <c r="J6" s="1">
        <v>5</v>
      </c>
      <c r="K6" s="1">
        <v>1</v>
      </c>
      <c r="L6" s="1">
        <f t="shared" si="0"/>
        <v>40</v>
      </c>
      <c r="M6" s="1">
        <f t="shared" ref="M6:M23" si="1">L6*2.5</f>
        <v>100</v>
      </c>
      <c r="N6" s="1" t="str">
        <f t="shared" ref="N6:N23" si="2">IF(M6&lt;51.7,"F (Poor)",
 IF(M6&lt;62.6,"D (Bad)",
 IF(M6&lt;64.9,"C- (Low)",
 IF(M6&lt;71,"C (Average)",
 IF(M6&lt;72.5,"C+ (Average+)",
 IF(M6&lt;74,"B- (Good)",
 IF(M6&lt;77.1,"B (Good)",
 IF(M6&lt;78.8,"B+ (Good+)",
 IF(M6&lt;80.7,"A- (Very Good)",
 IF(M6&lt;84,"A (Excellent)",
 "A+ (Outstanding)"))))))))))</f>
        <v>A+ (Outstanding)</v>
      </c>
    </row>
    <row r="7" spans="1:15">
      <c r="A7" s="1">
        <v>3</v>
      </c>
      <c r="B7" s="1">
        <v>4</v>
      </c>
      <c r="C7" s="1">
        <v>1</v>
      </c>
      <c r="D7" s="1">
        <v>5</v>
      </c>
      <c r="E7" s="1">
        <v>1</v>
      </c>
      <c r="F7" s="1">
        <v>4</v>
      </c>
      <c r="G7" s="1">
        <v>1</v>
      </c>
      <c r="H7" s="1">
        <v>4</v>
      </c>
      <c r="I7" s="1">
        <v>1</v>
      </c>
      <c r="J7" s="1">
        <v>3</v>
      </c>
      <c r="K7" s="1">
        <v>2</v>
      </c>
      <c r="L7" s="1">
        <f t="shared" si="0"/>
        <v>34</v>
      </c>
      <c r="M7" s="1">
        <f t="shared" si="1"/>
        <v>85</v>
      </c>
      <c r="N7" s="1" t="str">
        <f t="shared" si="2"/>
        <v>A+ (Outstanding)</v>
      </c>
    </row>
    <row r="8" spans="1:15">
      <c r="A8" s="1">
        <v>4</v>
      </c>
      <c r="B8" s="1">
        <v>4</v>
      </c>
      <c r="C8" s="1">
        <v>1</v>
      </c>
      <c r="D8" s="1">
        <v>5</v>
      </c>
      <c r="E8" s="1">
        <v>1</v>
      </c>
      <c r="F8" s="1">
        <v>5</v>
      </c>
      <c r="G8" s="1">
        <v>2</v>
      </c>
      <c r="H8" s="1">
        <v>5</v>
      </c>
      <c r="I8" s="1">
        <v>1</v>
      </c>
      <c r="J8" s="1">
        <v>5</v>
      </c>
      <c r="K8" s="1">
        <v>2</v>
      </c>
      <c r="L8" s="1">
        <f t="shared" si="0"/>
        <v>37</v>
      </c>
      <c r="M8" s="1">
        <f t="shared" si="1"/>
        <v>92.5</v>
      </c>
      <c r="N8" s="1" t="str">
        <f t="shared" si="2"/>
        <v>A+ (Outstanding)</v>
      </c>
    </row>
    <row r="9" spans="1:15">
      <c r="A9" s="1">
        <v>5</v>
      </c>
      <c r="B9" s="1">
        <v>4</v>
      </c>
      <c r="C9" s="1">
        <v>1</v>
      </c>
      <c r="D9" s="1">
        <v>5</v>
      </c>
      <c r="E9" s="1">
        <v>1</v>
      </c>
      <c r="F9" s="1">
        <v>5</v>
      </c>
      <c r="G9" s="1">
        <v>1</v>
      </c>
      <c r="H9" s="1">
        <v>5</v>
      </c>
      <c r="I9" s="1">
        <v>1</v>
      </c>
      <c r="J9" s="1">
        <v>5</v>
      </c>
      <c r="K9" s="1">
        <v>1</v>
      </c>
      <c r="L9" s="1">
        <f t="shared" si="0"/>
        <v>39</v>
      </c>
      <c r="M9" s="1">
        <f t="shared" si="1"/>
        <v>97.5</v>
      </c>
      <c r="N9" s="1" t="str">
        <f t="shared" si="2"/>
        <v>A+ (Outstanding)</v>
      </c>
    </row>
    <row r="10" spans="1:15">
      <c r="A10" s="1">
        <v>6</v>
      </c>
      <c r="B10" s="1">
        <v>5</v>
      </c>
      <c r="C10" s="1">
        <v>1</v>
      </c>
      <c r="D10" s="1">
        <v>5</v>
      </c>
      <c r="E10" s="1">
        <v>1</v>
      </c>
      <c r="F10" s="1">
        <v>5</v>
      </c>
      <c r="G10" s="1">
        <v>1</v>
      </c>
      <c r="H10" s="1">
        <v>5</v>
      </c>
      <c r="I10" s="1">
        <v>1</v>
      </c>
      <c r="J10" s="1">
        <v>5</v>
      </c>
      <c r="K10" s="1">
        <v>1</v>
      </c>
      <c r="L10" s="1">
        <f t="shared" si="0"/>
        <v>40</v>
      </c>
      <c r="M10" s="1">
        <f t="shared" si="1"/>
        <v>100</v>
      </c>
      <c r="N10" s="1" t="str">
        <f t="shared" si="2"/>
        <v>A+ (Outstanding)</v>
      </c>
    </row>
    <row r="11" spans="1:15">
      <c r="A11" s="1">
        <v>7</v>
      </c>
      <c r="B11" s="1">
        <v>2</v>
      </c>
      <c r="C11" s="1">
        <v>1</v>
      </c>
      <c r="D11" s="1">
        <v>3</v>
      </c>
      <c r="E11" s="1">
        <v>1</v>
      </c>
      <c r="F11" s="1">
        <v>3</v>
      </c>
      <c r="G11" s="1">
        <v>2</v>
      </c>
      <c r="H11" s="1">
        <v>5</v>
      </c>
      <c r="I11" s="1">
        <v>1</v>
      </c>
      <c r="J11" s="1">
        <v>2</v>
      </c>
      <c r="K11" s="1">
        <v>2</v>
      </c>
      <c r="L11" s="1">
        <f t="shared" si="0"/>
        <v>28</v>
      </c>
      <c r="M11" s="1">
        <f t="shared" si="1"/>
        <v>70</v>
      </c>
      <c r="N11" s="1" t="str">
        <f t="shared" si="2"/>
        <v>C (Average)</v>
      </c>
    </row>
    <row r="12" spans="1:15">
      <c r="A12" s="1">
        <v>8</v>
      </c>
      <c r="B12" s="1">
        <v>4</v>
      </c>
      <c r="C12" s="1">
        <v>1</v>
      </c>
      <c r="D12" s="1">
        <v>2</v>
      </c>
      <c r="E12" s="1">
        <v>1</v>
      </c>
      <c r="F12" s="1">
        <v>5</v>
      </c>
      <c r="G12" s="1">
        <v>1</v>
      </c>
      <c r="H12" s="1">
        <v>5</v>
      </c>
      <c r="I12" s="1">
        <v>1</v>
      </c>
      <c r="J12" s="1">
        <v>4</v>
      </c>
      <c r="K12" s="1">
        <v>1</v>
      </c>
      <c r="L12" s="1">
        <f t="shared" si="0"/>
        <v>35</v>
      </c>
      <c r="M12" s="1">
        <f t="shared" si="1"/>
        <v>87.5</v>
      </c>
      <c r="N12" s="1" t="str">
        <f t="shared" si="2"/>
        <v>A+ (Outstanding)</v>
      </c>
    </row>
    <row r="13" spans="1:15">
      <c r="A13" s="1">
        <v>9</v>
      </c>
      <c r="B13" s="1">
        <v>4</v>
      </c>
      <c r="C13" s="1">
        <v>1</v>
      </c>
      <c r="D13" s="1">
        <v>5</v>
      </c>
      <c r="E13" s="1">
        <v>1</v>
      </c>
      <c r="F13" s="1">
        <v>5</v>
      </c>
      <c r="G13" s="1">
        <v>1</v>
      </c>
      <c r="H13" s="1">
        <v>5</v>
      </c>
      <c r="I13" s="1">
        <v>1</v>
      </c>
      <c r="J13" s="1">
        <v>5</v>
      </c>
      <c r="K13" s="1">
        <v>2</v>
      </c>
      <c r="L13" s="1">
        <f t="shared" si="0"/>
        <v>38</v>
      </c>
      <c r="M13" s="1">
        <f t="shared" si="1"/>
        <v>95</v>
      </c>
      <c r="N13" s="1" t="str">
        <f t="shared" si="2"/>
        <v>A+ (Outstanding)</v>
      </c>
    </row>
    <row r="14" spans="1:15">
      <c r="A14" s="1">
        <v>10</v>
      </c>
      <c r="B14" s="1">
        <v>3</v>
      </c>
      <c r="C14" s="1">
        <v>4</v>
      </c>
      <c r="D14" s="1">
        <v>4</v>
      </c>
      <c r="E14" s="1">
        <v>1</v>
      </c>
      <c r="F14" s="1">
        <v>2</v>
      </c>
      <c r="G14" s="1">
        <v>1</v>
      </c>
      <c r="H14" s="1">
        <v>3</v>
      </c>
      <c r="I14" s="1">
        <v>1</v>
      </c>
      <c r="J14" s="1">
        <v>3</v>
      </c>
      <c r="K14" s="1">
        <v>1</v>
      </c>
      <c r="L14" s="1">
        <f t="shared" si="0"/>
        <v>27</v>
      </c>
      <c r="M14" s="1">
        <f t="shared" si="1"/>
        <v>67.5</v>
      </c>
      <c r="N14" s="1" t="str">
        <f t="shared" si="2"/>
        <v>C (Average)</v>
      </c>
    </row>
    <row r="15" spans="1:15">
      <c r="A15" s="1">
        <v>11</v>
      </c>
      <c r="B15" s="1">
        <v>4</v>
      </c>
      <c r="C15" s="1">
        <v>1</v>
      </c>
      <c r="D15" s="1">
        <v>5</v>
      </c>
      <c r="E15" s="1">
        <v>1</v>
      </c>
      <c r="F15" s="1">
        <v>5</v>
      </c>
      <c r="G15" s="1">
        <v>1</v>
      </c>
      <c r="H15" s="1">
        <v>5</v>
      </c>
      <c r="I15" s="1">
        <v>1</v>
      </c>
      <c r="J15" s="1">
        <v>5</v>
      </c>
      <c r="K15" s="1">
        <v>1</v>
      </c>
      <c r="L15" s="1">
        <f t="shared" si="0"/>
        <v>39</v>
      </c>
      <c r="M15" s="1">
        <f t="shared" si="1"/>
        <v>97.5</v>
      </c>
      <c r="N15" s="1" t="str">
        <f t="shared" si="2"/>
        <v>A+ (Outstanding)</v>
      </c>
    </row>
    <row r="16" spans="1:15">
      <c r="A16" s="1">
        <v>12</v>
      </c>
      <c r="B16" s="1">
        <v>2</v>
      </c>
      <c r="C16" s="1">
        <v>1</v>
      </c>
      <c r="D16" s="1">
        <v>5</v>
      </c>
      <c r="E16" s="1">
        <v>1</v>
      </c>
      <c r="F16" s="1">
        <v>5</v>
      </c>
      <c r="G16" s="1">
        <v>1</v>
      </c>
      <c r="H16" s="1">
        <v>5</v>
      </c>
      <c r="I16" s="1">
        <v>1</v>
      </c>
      <c r="J16" s="1">
        <v>5</v>
      </c>
      <c r="K16" s="1">
        <v>1</v>
      </c>
      <c r="L16" s="1">
        <f t="shared" si="0"/>
        <v>37</v>
      </c>
      <c r="M16" s="1">
        <f t="shared" si="1"/>
        <v>92.5</v>
      </c>
      <c r="N16" s="1" t="str">
        <f t="shared" si="2"/>
        <v>A+ (Outstanding)</v>
      </c>
    </row>
    <row r="17" spans="1:15">
      <c r="A17" s="1">
        <v>13</v>
      </c>
      <c r="B17" s="1">
        <v>4</v>
      </c>
      <c r="C17" s="1">
        <v>1</v>
      </c>
      <c r="D17" s="1">
        <v>5</v>
      </c>
      <c r="E17" s="1">
        <v>1</v>
      </c>
      <c r="F17" s="1">
        <v>5</v>
      </c>
      <c r="G17" s="1">
        <v>1</v>
      </c>
      <c r="H17" s="1">
        <v>5</v>
      </c>
      <c r="I17" s="1">
        <v>1</v>
      </c>
      <c r="J17" s="1">
        <v>5</v>
      </c>
      <c r="K17" s="1">
        <v>1</v>
      </c>
      <c r="L17" s="1">
        <f t="shared" si="0"/>
        <v>39</v>
      </c>
      <c r="M17" s="1">
        <f t="shared" si="1"/>
        <v>97.5</v>
      </c>
      <c r="N17" s="1" t="str">
        <f t="shared" si="2"/>
        <v>A+ (Outstanding)</v>
      </c>
    </row>
    <row r="18" spans="1:15">
      <c r="A18" s="1">
        <v>14</v>
      </c>
      <c r="B18" s="1">
        <v>5</v>
      </c>
      <c r="C18" s="1">
        <v>1</v>
      </c>
      <c r="D18" s="1">
        <v>5</v>
      </c>
      <c r="E18" s="1">
        <v>1</v>
      </c>
      <c r="F18" s="1">
        <v>5</v>
      </c>
      <c r="G18" s="1">
        <v>1</v>
      </c>
      <c r="H18" s="1">
        <v>5</v>
      </c>
      <c r="I18" s="1">
        <v>1</v>
      </c>
      <c r="J18" s="1">
        <v>5</v>
      </c>
      <c r="K18" s="1">
        <v>1</v>
      </c>
      <c r="L18" s="1">
        <f t="shared" si="0"/>
        <v>40</v>
      </c>
      <c r="M18" s="1">
        <f t="shared" si="1"/>
        <v>100</v>
      </c>
      <c r="N18" s="1" t="str">
        <f t="shared" si="2"/>
        <v>A+ (Outstanding)</v>
      </c>
    </row>
    <row r="19" spans="1:15">
      <c r="A19" s="1">
        <v>15</v>
      </c>
      <c r="B19" s="1">
        <v>5</v>
      </c>
      <c r="C19" s="1">
        <v>1</v>
      </c>
      <c r="D19" s="1">
        <v>5</v>
      </c>
      <c r="E19" s="1">
        <v>1</v>
      </c>
      <c r="F19" s="1">
        <v>5</v>
      </c>
      <c r="G19" s="1">
        <v>1</v>
      </c>
      <c r="H19" s="1">
        <v>5</v>
      </c>
      <c r="I19" s="1">
        <v>1</v>
      </c>
      <c r="J19" s="1">
        <v>5</v>
      </c>
      <c r="K19" s="1">
        <v>1</v>
      </c>
      <c r="L19" s="1">
        <f t="shared" si="0"/>
        <v>40</v>
      </c>
      <c r="M19" s="1">
        <f t="shared" si="1"/>
        <v>100</v>
      </c>
      <c r="N19" s="1" t="str">
        <f t="shared" si="2"/>
        <v>A+ (Outstanding)</v>
      </c>
    </row>
    <row r="20" spans="1:15">
      <c r="A20" s="1">
        <v>16</v>
      </c>
      <c r="B20" s="1">
        <v>4</v>
      </c>
      <c r="C20" s="1">
        <v>1</v>
      </c>
      <c r="D20" s="1">
        <v>5</v>
      </c>
      <c r="E20" s="1">
        <v>1</v>
      </c>
      <c r="F20" s="1">
        <v>5</v>
      </c>
      <c r="G20" s="1">
        <v>1</v>
      </c>
      <c r="H20" s="1">
        <v>4</v>
      </c>
      <c r="I20" s="1">
        <v>1</v>
      </c>
      <c r="J20" s="1">
        <v>5</v>
      </c>
      <c r="K20" s="1">
        <v>4</v>
      </c>
      <c r="L20" s="1">
        <f t="shared" si="0"/>
        <v>35</v>
      </c>
      <c r="M20" s="1">
        <f t="shared" si="1"/>
        <v>87.5</v>
      </c>
      <c r="N20" s="1" t="str">
        <f t="shared" si="2"/>
        <v>A+ (Outstanding)</v>
      </c>
    </row>
    <row r="21" spans="1:15">
      <c r="A21" s="1">
        <v>17</v>
      </c>
      <c r="B21" s="1">
        <v>4</v>
      </c>
      <c r="C21" s="1">
        <v>1</v>
      </c>
      <c r="D21" s="1">
        <v>3</v>
      </c>
      <c r="E21" s="1">
        <v>2</v>
      </c>
      <c r="F21" s="1">
        <v>4</v>
      </c>
      <c r="G21" s="1">
        <v>1</v>
      </c>
      <c r="H21" s="1">
        <v>3</v>
      </c>
      <c r="I21" s="1">
        <v>1</v>
      </c>
      <c r="J21" s="1">
        <v>1</v>
      </c>
      <c r="K21" s="1">
        <v>2</v>
      </c>
      <c r="L21" s="1">
        <f t="shared" si="0"/>
        <v>28</v>
      </c>
      <c r="M21" s="1">
        <f t="shared" si="1"/>
        <v>70</v>
      </c>
      <c r="N21" s="1" t="str">
        <f t="shared" si="2"/>
        <v>C (Average)</v>
      </c>
    </row>
    <row r="22" spans="1:15">
      <c r="A22" s="1">
        <v>18</v>
      </c>
      <c r="B22" s="1">
        <v>4</v>
      </c>
      <c r="C22" s="1">
        <v>1</v>
      </c>
      <c r="D22" s="1">
        <v>5</v>
      </c>
      <c r="E22" s="1">
        <v>1</v>
      </c>
      <c r="F22" s="1">
        <v>5</v>
      </c>
      <c r="G22" s="1">
        <v>1</v>
      </c>
      <c r="H22" s="1">
        <v>5</v>
      </c>
      <c r="I22" s="1">
        <v>1</v>
      </c>
      <c r="J22" s="1">
        <v>5</v>
      </c>
      <c r="K22" s="1">
        <v>2</v>
      </c>
      <c r="L22" s="1">
        <f t="shared" si="0"/>
        <v>38</v>
      </c>
      <c r="M22" s="1">
        <f t="shared" si="1"/>
        <v>95</v>
      </c>
      <c r="N22" s="1" t="str">
        <f t="shared" si="2"/>
        <v>A+ (Outstanding)</v>
      </c>
    </row>
    <row r="23" spans="1:15">
      <c r="A23" s="17">
        <v>19</v>
      </c>
      <c r="B23" s="17">
        <v>1</v>
      </c>
      <c r="C23" s="17">
        <v>3</v>
      </c>
      <c r="D23" s="17">
        <v>1</v>
      </c>
      <c r="E23" s="17">
        <v>4</v>
      </c>
      <c r="F23" s="17">
        <v>2</v>
      </c>
      <c r="G23" s="17">
        <v>2</v>
      </c>
      <c r="H23" s="17">
        <v>1</v>
      </c>
      <c r="I23" s="17">
        <v>2</v>
      </c>
      <c r="J23" s="17">
        <v>1</v>
      </c>
      <c r="K23" s="1">
        <v>3</v>
      </c>
      <c r="L23" s="1">
        <f t="shared" si="0"/>
        <v>12</v>
      </c>
      <c r="M23" s="1">
        <f t="shared" si="1"/>
        <v>30</v>
      </c>
      <c r="N23" s="1" t="str">
        <f t="shared" si="2"/>
        <v>F (Poor)</v>
      </c>
    </row>
    <row r="24" spans="1:15">
      <c r="A24" s="1"/>
      <c r="K24" s="11" t="s">
        <v>35</v>
      </c>
      <c r="L24" s="11">
        <f>AVERAGE(L5:L23)</f>
        <v>34.94736842105263</v>
      </c>
      <c r="M24" s="11">
        <f>AVERAGE(M5:M23)</f>
        <v>87.368421052631575</v>
      </c>
      <c r="N24" s="11" t="str">
        <f>IF(M24&lt;51.7,"F (Poor)",
 IF(M24&lt;62.6,"D (Bad)",
 IF(M24&lt;64.9,"C- (Low)",
 IF(M24&lt;71,"C (Average)",
 IF(M24&lt;72.5,"C+ (Average+)",
 IF(M24&lt;74,"B- (Good)",
 IF(M24&lt;77.1,"B (Good)",
 IF(M24&lt;78.8,"B+ (Good+)",
 IF(M24&lt;80.7,"A- (Very Good)",
 IF(M24&lt;84,"A (Excellent)",
 "A+ (Outstanding)"))))))))))</f>
        <v>A+ (Outstanding)</v>
      </c>
      <c r="O24" s="11">
        <f>IF(COUNT(L5:L23)&gt;1,
 (10/9)*(1-(
  (_xlfn.VAR.S(B5:B23)+_xlfn.VAR.S(C5:C23)+_xlfn.VAR.S(D5:D23)+_xlfn.VAR.S(E5:E23)+_xlfn.VAR.S(F5:F23)+_xlfn.VAR.S(G5:G23)+_xlfn.VAR.S(H5:H23)+_xlfn.VAR.S(I5:I23)+_xlfn.VAR.S(J5:J23)+_xlfn.VAR.S(K5:K23))
  /_xlfn.VAR.S(L5:L23)
 )),
 "")</f>
        <v>0.9073895840017111</v>
      </c>
    </row>
    <row r="25" spans="1:15">
      <c r="O25" s="2" t="str">
        <f>IF(ROUND(O24,2)&gt;=0.9,"Excellent",
 IF(ROUND(O24,2)&gt;=0.8,"Good",
 IF(ROUND(O24,2)&gt;=0.7,"Acceptable",
 IF(ROUND(O24,2)&gt;=0.6,"Questionable",
 IF(ROUND(O24,2)&gt;=0.5,"Poor",
 "Unacceptable")))))</f>
        <v>Excellent</v>
      </c>
    </row>
    <row r="26" spans="1:1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5">
      <c r="K27" t="s">
        <v>36</v>
      </c>
      <c r="M27" s="1">
        <f>COUNTA(M5:M23)</f>
        <v>19</v>
      </c>
    </row>
    <row r="28" spans="1:15">
      <c r="K28" t="s">
        <v>37</v>
      </c>
      <c r="L28" s="1"/>
      <c r="M28" s="1">
        <f>M24</f>
        <v>87.368421052631575</v>
      </c>
    </row>
    <row r="29" spans="1:15">
      <c r="K29" t="s">
        <v>38</v>
      </c>
      <c r="L29" s="1"/>
      <c r="M29" s="1">
        <f>_xlfn.STDEV.S(M5:M23)</f>
        <v>17.429892988502338</v>
      </c>
    </row>
    <row r="30" spans="1:15">
      <c r="K30" t="s">
        <v>39</v>
      </c>
      <c r="L30" s="1"/>
      <c r="M30" s="1">
        <f>68</f>
        <v>68</v>
      </c>
    </row>
    <row r="31" spans="1:15">
      <c r="M31" s="1"/>
    </row>
    <row r="32" spans="1:15">
      <c r="K32" t="s">
        <v>40</v>
      </c>
      <c r="M32" s="1">
        <f>(M28-M30)/(M29/SQRT(M27))</f>
        <v>4.8436895235133015</v>
      </c>
    </row>
    <row r="33" spans="11:13">
      <c r="K33" t="s">
        <v>41</v>
      </c>
      <c r="M33" s="1">
        <f>_xlfn.T.DIST.RT(M32, M27-1)</f>
        <v>6.5182993055591345E-5</v>
      </c>
    </row>
    <row r="34" spans="11:13">
      <c r="K34" t="s">
        <v>42</v>
      </c>
      <c r="M34" s="1">
        <f>100- (M33*100)</f>
        <v>99.993481700694446</v>
      </c>
    </row>
  </sheetData>
  <mergeCells count="2">
    <mergeCell ref="B1:N1"/>
    <mergeCell ref="A26:N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1069-BF26-448A-8FA3-5EC5117BCFC9}">
  <dimension ref="A1:U42"/>
  <sheetViews>
    <sheetView topLeftCell="G1" zoomScale="70" zoomScaleNormal="70" workbookViewId="0">
      <selection activeCell="S16" sqref="S16"/>
    </sheetView>
  </sheetViews>
  <sheetFormatPr baseColWidth="10" defaultColWidth="11.42578125" defaultRowHeight="15"/>
  <cols>
    <col min="1" max="1" width="12.28515625" customWidth="1"/>
    <col min="2" max="2" width="18.140625" customWidth="1"/>
    <col min="3" max="3" width="19.7109375" customWidth="1"/>
    <col min="4" max="4" width="36.42578125" customWidth="1"/>
    <col min="5" max="5" width="25.5703125" customWidth="1"/>
    <col min="6" max="6" width="26" customWidth="1"/>
    <col min="7" max="7" width="30.7109375" customWidth="1"/>
    <col min="8" max="9" width="22.85546875" customWidth="1"/>
    <col min="10" max="10" width="19.7109375" customWidth="1"/>
    <col min="11" max="11" width="60.7109375" customWidth="1"/>
    <col min="12" max="12" width="30.85546875" customWidth="1"/>
    <col min="13" max="13" width="40.42578125" customWidth="1"/>
    <col min="14" max="14" width="27.7109375" customWidth="1"/>
    <col min="15" max="15" width="16.28515625" customWidth="1"/>
    <col min="16" max="16" width="14.5703125" customWidth="1"/>
    <col min="17" max="17" width="18.85546875" customWidth="1"/>
    <col min="18" max="18" width="19.85546875" customWidth="1"/>
    <col min="19" max="19" width="17.42578125" customWidth="1"/>
    <col min="20" max="20" width="19.7109375" customWidth="1"/>
  </cols>
  <sheetData>
    <row r="1" spans="1:21" ht="14.45" customHeight="1">
      <c r="A1" s="21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2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2"/>
      <c r="J2" s="2" t="s">
        <v>7</v>
      </c>
      <c r="K2" s="2" t="s">
        <v>8</v>
      </c>
      <c r="L2" s="2" t="s">
        <v>9</v>
      </c>
      <c r="M2" s="2" t="s">
        <v>10</v>
      </c>
      <c r="N2" s="2"/>
    </row>
    <row r="3" spans="1:21"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/>
      <c r="I3" s="2"/>
      <c r="J3" s="2" t="s">
        <v>50</v>
      </c>
      <c r="K3" s="2" t="s">
        <v>51</v>
      </c>
      <c r="L3" s="2" t="s">
        <v>52</v>
      </c>
      <c r="M3" s="2" t="s">
        <v>53</v>
      </c>
      <c r="N3" s="2"/>
    </row>
    <row r="4" spans="1:21" ht="129" customHeight="1">
      <c r="A4" s="2" t="s">
        <v>54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  <c r="H4" s="18" t="s">
        <v>61</v>
      </c>
      <c r="I4" s="18" t="s">
        <v>62</v>
      </c>
      <c r="J4" s="4" t="s">
        <v>63</v>
      </c>
      <c r="K4" s="4" t="s">
        <v>64</v>
      </c>
      <c r="L4" s="4" t="s">
        <v>65</v>
      </c>
      <c r="M4" s="4" t="s">
        <v>66</v>
      </c>
      <c r="N4" s="4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/>
      <c r="T4" s="2"/>
    </row>
    <row r="5" spans="1:21">
      <c r="A5" s="1">
        <v>1</v>
      </c>
      <c r="B5" s="1">
        <v>1</v>
      </c>
      <c r="C5" s="1">
        <v>1</v>
      </c>
      <c r="D5" s="1">
        <v>1</v>
      </c>
      <c r="E5" s="1">
        <v>459</v>
      </c>
      <c r="F5" s="1">
        <v>12</v>
      </c>
      <c r="G5" s="1">
        <v>10</v>
      </c>
      <c r="H5" s="1">
        <f>LN(F5)</f>
        <v>2.4849066497880004</v>
      </c>
      <c r="I5" s="1">
        <f>LN(G5)</f>
        <v>2.3025850929940459</v>
      </c>
      <c r="J5" s="1">
        <v>0</v>
      </c>
      <c r="K5" s="1">
        <v>0</v>
      </c>
      <c r="L5" s="1">
        <v>0</v>
      </c>
      <c r="M5" s="1">
        <v>0</v>
      </c>
      <c r="N5" s="1">
        <f>SUM(J5:K5)/2</f>
        <v>0</v>
      </c>
      <c r="O5" s="2">
        <f>((C5+D5)/2)*100</f>
        <v>100</v>
      </c>
      <c r="P5" s="2">
        <f>IF(COUNT(C5:M5)=0,0, (AVERAGE(C5:D5)) / (1 + SUM(J5:M5))
)</f>
        <v>1</v>
      </c>
      <c r="Q5" s="2">
        <f>[1]SUS!$M5</f>
        <v>80</v>
      </c>
      <c r="R5" s="2" t="str">
        <f>IF(Q5&lt;51.7,"F (Poor)",
 IF(Q5&lt;62.6,"D (Bad)",
 IF(Q5&lt;64.9,"C- (Low)",
 IF(Q5&lt;71,"C (Average)",
 IF(Q5&lt;72.5,"C+ (Average+)",
 IF(Q5&lt;74,"B- (Good)",
 IF(Q5&lt;77.1,"B (Good)",
 IF(Q5&lt;78.8,"B+ (Good+)",
 IF(Q5&lt;80.7,"A- (Very Good)",
 IF(Q5&lt;84,"A (Excellent)",
 "A+ (Outstanding)"))))))))))</f>
        <v>A- (Very Good)</v>
      </c>
      <c r="T5" s="2" t="s">
        <v>72</v>
      </c>
      <c r="U5">
        <v>80</v>
      </c>
    </row>
    <row r="6" spans="1:21">
      <c r="A6" s="1">
        <v>2</v>
      </c>
      <c r="B6" s="1">
        <v>1</v>
      </c>
      <c r="C6" s="1">
        <v>1</v>
      </c>
      <c r="D6" s="1">
        <v>1</v>
      </c>
      <c r="E6" s="1">
        <v>330</v>
      </c>
      <c r="F6" s="1">
        <v>8</v>
      </c>
      <c r="G6" s="1">
        <v>15</v>
      </c>
      <c r="H6" s="1">
        <f t="shared" ref="H6:H23" si="0">LN(F6)</f>
        <v>2.0794415416798357</v>
      </c>
      <c r="I6" s="1">
        <f t="shared" ref="I6:I23" si="1">LN(G6)</f>
        <v>2.7080502011022101</v>
      </c>
      <c r="J6" s="1">
        <v>0</v>
      </c>
      <c r="K6" s="1">
        <v>0</v>
      </c>
      <c r="L6" s="1">
        <v>0</v>
      </c>
      <c r="M6" s="1">
        <v>0</v>
      </c>
      <c r="N6" s="1">
        <f t="shared" ref="N6:N23" si="2">SUM(J6:K6)/2</f>
        <v>0</v>
      </c>
      <c r="O6" s="2">
        <f t="shared" ref="O6:O23" si="3">((C6+D6)/2)*100</f>
        <v>100</v>
      </c>
      <c r="P6" s="2">
        <f>IF(COUNT(C6:M6)=0,0, (AVERAGE(C6:D6)) / (1 + SUM(J6:M6))
)</f>
        <v>1</v>
      </c>
      <c r="Q6" s="2">
        <f>[1]SUS!$M6</f>
        <v>90</v>
      </c>
      <c r="R6" s="2" t="str">
        <f t="shared" ref="R6:R24" si="4">IF(Q6&lt;51.7,"F (Poor)",
 IF(Q6&lt;62.6,"D (Bad)",
 IF(Q6&lt;64.9,"C- (Low)",
 IF(Q6&lt;71,"C (Average)",
 IF(Q6&lt;72.5,"C+ (Average+)",
 IF(Q6&lt;74,"B- (Good)",
 IF(Q6&lt;77.1,"B (Good)",
 IF(Q6&lt;78.8,"B+ (Good+)",
 IF(Q6&lt;80.7,"A- (Very Good)",
 IF(Q6&lt;84,"A (Excellent)",
 "A+ (Outstanding)"))))))))))</f>
        <v>A+ (Outstanding)</v>
      </c>
      <c r="T6" s="2" t="s">
        <v>73</v>
      </c>
      <c r="U6">
        <v>60</v>
      </c>
    </row>
    <row r="7" spans="1:21">
      <c r="A7" s="1">
        <v>3</v>
      </c>
      <c r="B7" s="1">
        <v>1</v>
      </c>
      <c r="C7" s="1">
        <v>1</v>
      </c>
      <c r="D7" s="1">
        <v>1</v>
      </c>
      <c r="E7" s="1">
        <v>328</v>
      </c>
      <c r="F7" s="1">
        <v>30</v>
      </c>
      <c r="G7" s="1">
        <v>61</v>
      </c>
      <c r="H7" s="1">
        <f t="shared" si="0"/>
        <v>3.4011973816621555</v>
      </c>
      <c r="I7" s="1">
        <f t="shared" si="1"/>
        <v>4.1108738641733114</v>
      </c>
      <c r="J7" s="1">
        <v>0</v>
      </c>
      <c r="K7" s="1">
        <v>0</v>
      </c>
      <c r="L7" s="1">
        <v>0</v>
      </c>
      <c r="M7" s="1">
        <v>0</v>
      </c>
      <c r="N7" s="1">
        <f t="shared" si="2"/>
        <v>0</v>
      </c>
      <c r="O7" s="2">
        <f t="shared" si="3"/>
        <v>100</v>
      </c>
      <c r="P7" s="2">
        <f>IF(COUNT(C7:M7)=0,0,
 (AVERAGE(C7:D7)) / (1 + SUM(J7:M7))
)</f>
        <v>1</v>
      </c>
      <c r="Q7" s="2">
        <f>[1]SUS!$M7</f>
        <v>87.5</v>
      </c>
      <c r="R7" s="2" t="str">
        <f t="shared" si="4"/>
        <v>A+ (Outstanding)</v>
      </c>
      <c r="T7" s="2"/>
    </row>
    <row r="8" spans="1:21">
      <c r="A8" s="1">
        <v>4</v>
      </c>
      <c r="B8" s="1">
        <v>1</v>
      </c>
      <c r="C8" s="1">
        <v>1</v>
      </c>
      <c r="D8" s="1">
        <v>1</v>
      </c>
      <c r="E8" s="1">
        <v>448</v>
      </c>
      <c r="F8" s="1">
        <v>4</v>
      </c>
      <c r="G8" s="1">
        <v>8</v>
      </c>
      <c r="H8" s="1">
        <f t="shared" si="0"/>
        <v>1.3862943611198906</v>
      </c>
      <c r="I8" s="1">
        <f t="shared" si="1"/>
        <v>2.0794415416798357</v>
      </c>
      <c r="J8" s="1">
        <v>0</v>
      </c>
      <c r="K8" s="1">
        <v>0</v>
      </c>
      <c r="L8" s="1">
        <v>0</v>
      </c>
      <c r="M8" s="1">
        <v>0</v>
      </c>
      <c r="N8" s="1">
        <f t="shared" si="2"/>
        <v>0</v>
      </c>
      <c r="O8" s="2">
        <f t="shared" si="3"/>
        <v>100</v>
      </c>
      <c r="P8" s="2">
        <f>IF(COUNT(C8:M8)=0,0,
 (AVERAGE(C8:D8)) / (1 + SUM(J8:M8))
)</f>
        <v>1</v>
      </c>
      <c r="Q8" s="2">
        <f>[1]SUS!$M8</f>
        <v>77.5</v>
      </c>
      <c r="R8" s="2" t="str">
        <f t="shared" si="4"/>
        <v>B+ (Good+)</v>
      </c>
    </row>
    <row r="9" spans="1:21">
      <c r="A9" s="1">
        <v>5</v>
      </c>
      <c r="B9" s="1">
        <v>1</v>
      </c>
      <c r="C9" s="1">
        <v>1</v>
      </c>
      <c r="D9" s="1">
        <v>1</v>
      </c>
      <c r="E9" s="1">
        <v>234</v>
      </c>
      <c r="F9" s="1">
        <v>47</v>
      </c>
      <c r="G9" s="1">
        <v>26</v>
      </c>
      <c r="H9" s="1">
        <f t="shared" si="0"/>
        <v>3.8501476017100584</v>
      </c>
      <c r="I9" s="1">
        <f t="shared" si="1"/>
        <v>3.2580965380214821</v>
      </c>
      <c r="J9" s="1">
        <v>1</v>
      </c>
      <c r="K9" s="1">
        <v>0</v>
      </c>
      <c r="L9" s="1">
        <v>0</v>
      </c>
      <c r="M9" s="1">
        <v>0</v>
      </c>
      <c r="N9" s="1">
        <f t="shared" si="2"/>
        <v>0.5</v>
      </c>
      <c r="O9" s="2">
        <f t="shared" si="3"/>
        <v>100</v>
      </c>
      <c r="P9" s="2">
        <f>IF(COUNT(C9:M9)=0,0,
 (AVERAGE(C9:D9)) / (1 + SUM(J9:M9))
)</f>
        <v>0.5</v>
      </c>
      <c r="Q9" s="2">
        <f>[1]SUS!$M9</f>
        <v>90</v>
      </c>
      <c r="R9" s="2" t="str">
        <f t="shared" si="4"/>
        <v>A+ (Outstanding)</v>
      </c>
    </row>
    <row r="10" spans="1:21">
      <c r="A10" s="1">
        <v>6</v>
      </c>
      <c r="B10" s="1">
        <v>1</v>
      </c>
      <c r="C10" s="1">
        <v>1</v>
      </c>
      <c r="D10" s="1">
        <v>1</v>
      </c>
      <c r="E10" s="1">
        <v>200</v>
      </c>
      <c r="F10" s="1">
        <v>20</v>
      </c>
      <c r="G10" s="1">
        <v>10</v>
      </c>
      <c r="H10" s="1">
        <f t="shared" si="0"/>
        <v>2.9957322735539909</v>
      </c>
      <c r="I10" s="1">
        <f t="shared" si="1"/>
        <v>2.3025850929940459</v>
      </c>
      <c r="J10" s="1">
        <v>0</v>
      </c>
      <c r="K10" s="1">
        <v>0</v>
      </c>
      <c r="L10" s="1">
        <v>0</v>
      </c>
      <c r="M10" s="1">
        <v>0</v>
      </c>
      <c r="N10" s="1">
        <f t="shared" si="2"/>
        <v>0</v>
      </c>
      <c r="O10" s="2">
        <f t="shared" si="3"/>
        <v>100</v>
      </c>
      <c r="P10" s="2">
        <f t="shared" ref="P10:P23" si="5">IF(COUNT(C10:M10)=0,0,
 (AVERAGE(C10:D10)) / (1 + SUM(J10:M10))
)</f>
        <v>1</v>
      </c>
      <c r="Q10" s="2">
        <f>[1]SUS!$M10</f>
        <v>82.5</v>
      </c>
      <c r="R10" s="2" t="str">
        <f t="shared" si="4"/>
        <v>A (Excellent)</v>
      </c>
    </row>
    <row r="11" spans="1:21">
      <c r="A11" s="1">
        <v>7</v>
      </c>
      <c r="B11" s="1">
        <v>1</v>
      </c>
      <c r="C11" s="1">
        <v>1</v>
      </c>
      <c r="D11" s="1">
        <v>1</v>
      </c>
      <c r="E11" s="1">
        <v>260</v>
      </c>
      <c r="F11" s="1">
        <v>40</v>
      </c>
      <c r="G11" s="1">
        <v>30</v>
      </c>
      <c r="H11" s="1">
        <f t="shared" si="0"/>
        <v>3.6888794541139363</v>
      </c>
      <c r="I11" s="1">
        <f t="shared" si="1"/>
        <v>3.4011973816621555</v>
      </c>
      <c r="J11" s="1">
        <v>2</v>
      </c>
      <c r="K11" s="1">
        <v>0</v>
      </c>
      <c r="L11" s="1">
        <v>0</v>
      </c>
      <c r="M11" s="1">
        <v>0</v>
      </c>
      <c r="N11" s="1">
        <f t="shared" si="2"/>
        <v>1</v>
      </c>
      <c r="O11" s="2">
        <f t="shared" si="3"/>
        <v>100</v>
      </c>
      <c r="P11" s="2">
        <f t="shared" si="5"/>
        <v>0.33333333333333331</v>
      </c>
      <c r="Q11" s="2">
        <f>[1]SUS!$M11</f>
        <v>37.5</v>
      </c>
      <c r="R11" s="2" t="str">
        <f t="shared" si="4"/>
        <v>F (Poor)</v>
      </c>
    </row>
    <row r="12" spans="1:21">
      <c r="A12" s="1">
        <v>8</v>
      </c>
      <c r="B12" s="1">
        <v>1</v>
      </c>
      <c r="C12" s="1">
        <v>1</v>
      </c>
      <c r="D12" s="1">
        <v>1</v>
      </c>
      <c r="E12" s="1">
        <v>420</v>
      </c>
      <c r="F12" s="1">
        <v>10</v>
      </c>
      <c r="G12" s="1">
        <v>8</v>
      </c>
      <c r="H12" s="1">
        <f t="shared" si="0"/>
        <v>2.3025850929940459</v>
      </c>
      <c r="I12" s="1">
        <f t="shared" si="1"/>
        <v>2.0794415416798357</v>
      </c>
      <c r="J12" s="1">
        <v>0</v>
      </c>
      <c r="K12" s="1">
        <v>0</v>
      </c>
      <c r="L12" s="1">
        <v>0</v>
      </c>
      <c r="M12" s="1">
        <v>0</v>
      </c>
      <c r="N12" s="1">
        <f t="shared" si="2"/>
        <v>0</v>
      </c>
      <c r="O12" s="2">
        <f t="shared" si="3"/>
        <v>100</v>
      </c>
      <c r="P12" s="2">
        <f t="shared" si="5"/>
        <v>1</v>
      </c>
      <c r="Q12" s="2">
        <f>[1]SUS!$M12</f>
        <v>92.5</v>
      </c>
      <c r="R12" s="2" t="str">
        <f t="shared" si="4"/>
        <v>A+ (Outstanding)</v>
      </c>
    </row>
    <row r="13" spans="1:21">
      <c r="A13" s="1">
        <v>9</v>
      </c>
      <c r="B13" s="1">
        <v>1</v>
      </c>
      <c r="C13" s="1">
        <v>1</v>
      </c>
      <c r="D13" s="1">
        <v>1</v>
      </c>
      <c r="E13" s="1">
        <v>463</v>
      </c>
      <c r="F13" s="1">
        <v>24</v>
      </c>
      <c r="G13" s="1">
        <v>2</v>
      </c>
      <c r="H13" s="1">
        <f t="shared" si="0"/>
        <v>3.1780538303479458</v>
      </c>
      <c r="I13" s="1">
        <f t="shared" si="1"/>
        <v>0.69314718055994529</v>
      </c>
      <c r="J13" s="1">
        <v>0</v>
      </c>
      <c r="K13" s="1">
        <v>0</v>
      </c>
      <c r="L13" s="1">
        <v>0</v>
      </c>
      <c r="M13" s="1">
        <v>0</v>
      </c>
      <c r="N13" s="1">
        <f t="shared" si="2"/>
        <v>0</v>
      </c>
      <c r="O13" s="2">
        <f t="shared" si="3"/>
        <v>100</v>
      </c>
      <c r="P13" s="2">
        <f t="shared" si="5"/>
        <v>1</v>
      </c>
      <c r="Q13" s="2">
        <f>[1]SUS!$M14</f>
        <v>95</v>
      </c>
      <c r="R13" s="2" t="str">
        <f t="shared" si="4"/>
        <v>A+ (Outstanding)</v>
      </c>
    </row>
    <row r="14" spans="1:21">
      <c r="A14" s="1">
        <v>10</v>
      </c>
      <c r="B14" s="1">
        <v>1</v>
      </c>
      <c r="C14" s="1">
        <v>1</v>
      </c>
      <c r="D14" s="1">
        <v>1</v>
      </c>
      <c r="E14" s="1">
        <v>180</v>
      </c>
      <c r="F14" s="1">
        <v>20</v>
      </c>
      <c r="G14" s="1">
        <v>20</v>
      </c>
      <c r="H14" s="1">
        <f t="shared" si="0"/>
        <v>2.9957322735539909</v>
      </c>
      <c r="I14" s="1">
        <f t="shared" si="1"/>
        <v>2.9957322735539909</v>
      </c>
      <c r="J14" s="1">
        <v>0</v>
      </c>
      <c r="K14" s="1">
        <v>0</v>
      </c>
      <c r="L14" s="1">
        <v>0</v>
      </c>
      <c r="M14" s="1">
        <v>0</v>
      </c>
      <c r="N14" s="1">
        <f t="shared" si="2"/>
        <v>0</v>
      </c>
      <c r="O14" s="2">
        <f t="shared" si="3"/>
        <v>100</v>
      </c>
      <c r="P14" s="2">
        <f t="shared" si="5"/>
        <v>1</v>
      </c>
      <c r="Q14" s="2">
        <f>[1]SUS!$M15</f>
        <v>95</v>
      </c>
      <c r="R14" s="2" t="str">
        <f t="shared" si="4"/>
        <v>A+ (Outstanding)</v>
      </c>
    </row>
    <row r="15" spans="1:21">
      <c r="A15" s="1">
        <v>11</v>
      </c>
      <c r="B15" s="1">
        <v>1</v>
      </c>
      <c r="C15" s="1">
        <v>1</v>
      </c>
      <c r="D15" s="1">
        <v>1</v>
      </c>
      <c r="E15" s="1">
        <v>416</v>
      </c>
      <c r="F15" s="1">
        <v>5</v>
      </c>
      <c r="G15" s="1">
        <v>8</v>
      </c>
      <c r="H15" s="1">
        <f t="shared" si="0"/>
        <v>1.6094379124341003</v>
      </c>
      <c r="I15" s="1">
        <f t="shared" si="1"/>
        <v>2.0794415416798357</v>
      </c>
      <c r="J15" s="1">
        <v>0</v>
      </c>
      <c r="K15" s="1">
        <v>0</v>
      </c>
      <c r="L15" s="1">
        <v>0</v>
      </c>
      <c r="M15" s="1">
        <v>0</v>
      </c>
      <c r="N15" s="1">
        <f t="shared" si="2"/>
        <v>0</v>
      </c>
      <c r="O15" s="2">
        <f t="shared" si="3"/>
        <v>100</v>
      </c>
      <c r="P15" s="2">
        <f t="shared" si="5"/>
        <v>1</v>
      </c>
      <c r="Q15" s="2">
        <f>[1]SUS!$M16</f>
        <v>85</v>
      </c>
      <c r="R15" s="2" t="str">
        <f t="shared" si="4"/>
        <v>A+ (Outstanding)</v>
      </c>
    </row>
    <row r="16" spans="1:21">
      <c r="A16" s="1">
        <v>12</v>
      </c>
      <c r="B16" s="1">
        <v>1</v>
      </c>
      <c r="C16" s="1">
        <v>1</v>
      </c>
      <c r="D16" s="1">
        <v>1</v>
      </c>
      <c r="E16" s="1">
        <v>140</v>
      </c>
      <c r="F16" s="1">
        <v>25</v>
      </c>
      <c r="G16" s="1">
        <v>30</v>
      </c>
      <c r="H16" s="1">
        <f t="shared" si="0"/>
        <v>3.2188758248682006</v>
      </c>
      <c r="I16" s="1">
        <f t="shared" si="1"/>
        <v>3.4011973816621555</v>
      </c>
      <c r="J16" s="1">
        <v>0</v>
      </c>
      <c r="K16" s="1">
        <v>0</v>
      </c>
      <c r="L16" s="1">
        <v>0</v>
      </c>
      <c r="M16" s="1">
        <v>0</v>
      </c>
      <c r="N16" s="1">
        <f t="shared" si="2"/>
        <v>0</v>
      </c>
      <c r="O16" s="2">
        <f t="shared" si="3"/>
        <v>100</v>
      </c>
      <c r="P16" s="2">
        <f t="shared" si="5"/>
        <v>1</v>
      </c>
      <c r="Q16" s="2">
        <f>[1]SUS!$M17</f>
        <v>80</v>
      </c>
      <c r="R16" s="2" t="str">
        <f t="shared" si="4"/>
        <v>A- (Very Good)</v>
      </c>
    </row>
    <row r="17" spans="1:18">
      <c r="A17" s="1">
        <v>13</v>
      </c>
      <c r="B17" s="1">
        <v>1</v>
      </c>
      <c r="C17" s="1">
        <v>1</v>
      </c>
      <c r="D17" s="1">
        <v>1</v>
      </c>
      <c r="E17" s="1">
        <v>421</v>
      </c>
      <c r="F17" s="1">
        <v>18</v>
      </c>
      <c r="G17" s="1">
        <v>10</v>
      </c>
      <c r="H17" s="1">
        <f t="shared" si="0"/>
        <v>2.8903717578961645</v>
      </c>
      <c r="I17" s="1">
        <f t="shared" si="1"/>
        <v>2.3025850929940459</v>
      </c>
      <c r="J17" s="1">
        <v>0</v>
      </c>
      <c r="K17" s="1">
        <v>0</v>
      </c>
      <c r="L17" s="1">
        <v>0</v>
      </c>
      <c r="M17" s="1">
        <v>0</v>
      </c>
      <c r="N17" s="1">
        <f t="shared" si="2"/>
        <v>0</v>
      </c>
      <c r="O17" s="2">
        <f t="shared" si="3"/>
        <v>100</v>
      </c>
      <c r="P17" s="2">
        <f t="shared" si="5"/>
        <v>1</v>
      </c>
      <c r="Q17" s="2">
        <f>[1]SUS!$M18</f>
        <v>87.5</v>
      </c>
      <c r="R17" s="2" t="str">
        <f t="shared" si="4"/>
        <v>A+ (Outstanding)</v>
      </c>
    </row>
    <row r="18" spans="1:18">
      <c r="A18" s="1">
        <v>14</v>
      </c>
      <c r="B18" s="1">
        <v>1</v>
      </c>
      <c r="C18" s="1">
        <v>1</v>
      </c>
      <c r="D18" s="1">
        <v>1</v>
      </c>
      <c r="E18" s="1">
        <v>410</v>
      </c>
      <c r="F18" s="1">
        <v>8</v>
      </c>
      <c r="G18" s="1">
        <v>18</v>
      </c>
      <c r="H18" s="1">
        <f t="shared" si="0"/>
        <v>2.0794415416798357</v>
      </c>
      <c r="I18" s="1">
        <f t="shared" si="1"/>
        <v>2.8903717578961645</v>
      </c>
      <c r="J18" s="1">
        <v>0</v>
      </c>
      <c r="K18" s="1">
        <v>0</v>
      </c>
      <c r="L18" s="1">
        <v>0</v>
      </c>
      <c r="M18" s="1">
        <v>0</v>
      </c>
      <c r="N18" s="1">
        <f t="shared" si="2"/>
        <v>0</v>
      </c>
      <c r="O18" s="2">
        <f t="shared" si="3"/>
        <v>100</v>
      </c>
      <c r="P18" s="2">
        <f t="shared" si="5"/>
        <v>1</v>
      </c>
      <c r="Q18" s="2">
        <f>[1]SUS!$M19</f>
        <v>85</v>
      </c>
      <c r="R18" s="2" t="str">
        <f t="shared" si="4"/>
        <v>A+ (Outstanding)</v>
      </c>
    </row>
    <row r="19" spans="1:18">
      <c r="A19" s="1">
        <v>15</v>
      </c>
      <c r="B19" s="1">
        <v>1</v>
      </c>
      <c r="C19" s="1">
        <v>1</v>
      </c>
      <c r="D19" s="1">
        <v>1</v>
      </c>
      <c r="E19" s="1">
        <v>487</v>
      </c>
      <c r="F19" s="1">
        <v>7</v>
      </c>
      <c r="G19" s="1">
        <v>8</v>
      </c>
      <c r="H19" s="1">
        <f t="shared" si="0"/>
        <v>1.9459101490553132</v>
      </c>
      <c r="I19" s="1">
        <f t="shared" si="1"/>
        <v>2.0794415416798357</v>
      </c>
      <c r="J19" s="1">
        <v>0</v>
      </c>
      <c r="K19" s="1">
        <v>0</v>
      </c>
      <c r="L19" s="1">
        <v>0</v>
      </c>
      <c r="M19" s="1">
        <v>0</v>
      </c>
      <c r="N19" s="1">
        <f t="shared" si="2"/>
        <v>0</v>
      </c>
      <c r="O19" s="2">
        <f t="shared" si="3"/>
        <v>100</v>
      </c>
      <c r="P19" s="2">
        <f t="shared" si="5"/>
        <v>1</v>
      </c>
      <c r="Q19" s="2">
        <f>[1]SUS!$M20</f>
        <v>90</v>
      </c>
      <c r="R19" s="2" t="str">
        <f t="shared" si="4"/>
        <v>A+ (Outstanding)</v>
      </c>
    </row>
    <row r="20" spans="1:18">
      <c r="A20" s="1">
        <v>16</v>
      </c>
      <c r="B20" s="1">
        <v>1</v>
      </c>
      <c r="C20" s="1">
        <v>1</v>
      </c>
      <c r="D20" s="1">
        <v>1</v>
      </c>
      <c r="E20" s="1">
        <v>168</v>
      </c>
      <c r="F20" s="1">
        <v>25</v>
      </c>
      <c r="G20" s="1">
        <v>37</v>
      </c>
      <c r="H20" s="1">
        <f t="shared" si="0"/>
        <v>3.2188758248682006</v>
      </c>
      <c r="I20" s="1">
        <f t="shared" si="1"/>
        <v>3.6109179126442243</v>
      </c>
      <c r="J20" s="1">
        <v>0</v>
      </c>
      <c r="K20" s="1">
        <v>0</v>
      </c>
      <c r="L20" s="1">
        <v>0</v>
      </c>
      <c r="M20" s="1">
        <v>0</v>
      </c>
      <c r="N20" s="1">
        <f t="shared" si="2"/>
        <v>0</v>
      </c>
      <c r="O20" s="2">
        <f t="shared" si="3"/>
        <v>100</v>
      </c>
      <c r="P20" s="2">
        <f t="shared" si="5"/>
        <v>1</v>
      </c>
      <c r="Q20" s="2">
        <f>[1]SUS!$M21</f>
        <v>65</v>
      </c>
      <c r="R20" s="2" t="str">
        <f t="shared" si="4"/>
        <v>C (Average)</v>
      </c>
    </row>
    <row r="21" spans="1:18">
      <c r="A21" s="1">
        <v>17</v>
      </c>
      <c r="B21" s="1">
        <v>1</v>
      </c>
      <c r="C21" s="1">
        <v>1</v>
      </c>
      <c r="D21" s="1">
        <v>1</v>
      </c>
      <c r="E21" s="1">
        <v>309</v>
      </c>
      <c r="F21" s="1">
        <v>2</v>
      </c>
      <c r="G21" s="1">
        <v>4</v>
      </c>
      <c r="H21" s="1">
        <f t="shared" si="0"/>
        <v>0.69314718055994529</v>
      </c>
      <c r="I21" s="1">
        <f t="shared" si="1"/>
        <v>1.3862943611198906</v>
      </c>
      <c r="J21" s="1">
        <v>0</v>
      </c>
      <c r="K21" s="1">
        <v>0</v>
      </c>
      <c r="L21" s="1">
        <v>0</v>
      </c>
      <c r="M21" s="1">
        <v>0</v>
      </c>
      <c r="N21" s="1">
        <f t="shared" si="2"/>
        <v>0</v>
      </c>
      <c r="O21" s="2">
        <f t="shared" si="3"/>
        <v>100</v>
      </c>
      <c r="P21" s="2">
        <f t="shared" si="5"/>
        <v>1</v>
      </c>
      <c r="Q21" s="2">
        <f>[1]SUS!$M22</f>
        <v>95</v>
      </c>
      <c r="R21" s="2" t="str">
        <f t="shared" si="4"/>
        <v>A+ (Outstanding)</v>
      </c>
    </row>
    <row r="22" spans="1:18">
      <c r="A22" s="1">
        <v>18</v>
      </c>
      <c r="B22" s="1">
        <v>1</v>
      </c>
      <c r="C22" s="1">
        <v>1</v>
      </c>
      <c r="D22" s="1">
        <v>1</v>
      </c>
      <c r="E22" s="1">
        <v>540</v>
      </c>
      <c r="F22" s="1">
        <v>8</v>
      </c>
      <c r="G22" s="1">
        <v>10</v>
      </c>
      <c r="H22" s="1">
        <f t="shared" si="0"/>
        <v>2.0794415416798357</v>
      </c>
      <c r="I22" s="1">
        <f t="shared" si="1"/>
        <v>2.3025850929940459</v>
      </c>
      <c r="J22" s="1">
        <v>0</v>
      </c>
      <c r="K22" s="1">
        <v>0</v>
      </c>
      <c r="L22" s="1">
        <v>0</v>
      </c>
      <c r="M22" s="1">
        <v>0</v>
      </c>
      <c r="N22" s="1">
        <f t="shared" si="2"/>
        <v>0</v>
      </c>
      <c r="O22" s="2">
        <f t="shared" si="3"/>
        <v>100</v>
      </c>
      <c r="P22" s="2">
        <f t="shared" si="5"/>
        <v>1</v>
      </c>
      <c r="Q22" s="2">
        <f>[1]SUS!$M23</f>
        <v>95</v>
      </c>
      <c r="R22" s="2" t="str">
        <f t="shared" si="4"/>
        <v>A+ (Outstanding)</v>
      </c>
    </row>
    <row r="23" spans="1:18">
      <c r="A23" s="1">
        <v>19</v>
      </c>
      <c r="B23" s="1">
        <v>1</v>
      </c>
      <c r="C23" s="1">
        <v>1</v>
      </c>
      <c r="D23" s="1">
        <v>1</v>
      </c>
      <c r="E23" s="1">
        <v>120</v>
      </c>
      <c r="F23" s="1">
        <v>30</v>
      </c>
      <c r="G23" s="1">
        <v>30</v>
      </c>
      <c r="H23" s="1">
        <f t="shared" si="0"/>
        <v>3.4011973816621555</v>
      </c>
      <c r="I23" s="1">
        <f t="shared" si="1"/>
        <v>3.4011973816621555</v>
      </c>
      <c r="J23" s="1">
        <v>0</v>
      </c>
      <c r="K23" s="1">
        <v>0</v>
      </c>
      <c r="L23" s="1">
        <v>0</v>
      </c>
      <c r="M23" s="1">
        <v>0</v>
      </c>
      <c r="N23" s="1">
        <f t="shared" si="2"/>
        <v>0</v>
      </c>
      <c r="O23" s="2">
        <f t="shared" si="3"/>
        <v>100</v>
      </c>
      <c r="P23" s="2">
        <f t="shared" si="5"/>
        <v>1</v>
      </c>
      <c r="Q23" s="2">
        <f>[1]SUS!$M24</f>
        <v>87.5</v>
      </c>
      <c r="R23" s="2" t="str">
        <f t="shared" si="4"/>
        <v>A+ (Outstanding)</v>
      </c>
    </row>
    <row r="24" spans="1:18">
      <c r="A24" s="13"/>
      <c r="B24" s="13"/>
      <c r="C24" s="13"/>
      <c r="D24" s="13" t="s">
        <v>74</v>
      </c>
      <c r="E24" s="11">
        <f>AVERAGE(E5:E23)</f>
        <v>333.31578947368422</v>
      </c>
      <c r="F24" s="11">
        <f>AVERAGE(F5:F23)</f>
        <v>18.05263157894737</v>
      </c>
      <c r="G24" s="11">
        <f>AVERAGE(G5:G23)</f>
        <v>18.157894736842106</v>
      </c>
      <c r="H24" s="11">
        <f>AVERAGE(H5:H23)</f>
        <v>2.6052457671172422</v>
      </c>
      <c r="I24" s="11">
        <f>AVERAGE(I5:I23)</f>
        <v>2.5992201459343787</v>
      </c>
      <c r="J24" s="13"/>
      <c r="K24" s="13"/>
      <c r="L24" s="13"/>
      <c r="M24" s="11"/>
      <c r="N24" s="11">
        <f>AVERAGE(N5:N23)</f>
        <v>7.8947368421052627E-2</v>
      </c>
      <c r="O24" s="12">
        <f>AVERAGE(O5:O23)</f>
        <v>100</v>
      </c>
      <c r="P24" s="12">
        <f>AVERAGE(P5:P23)</f>
        <v>0.9385964912280701</v>
      </c>
      <c r="Q24" s="12">
        <f>AVERAGE(Q5:Q23)</f>
        <v>84.078947368421055</v>
      </c>
      <c r="R24" s="12" t="str">
        <f t="shared" si="4"/>
        <v>A+ (Outstanding)</v>
      </c>
    </row>
    <row r="25" spans="1:18">
      <c r="D25" t="s">
        <v>75</v>
      </c>
      <c r="E25" s="1"/>
      <c r="F25" s="1">
        <f>GEOMEAN(F5:F23)</f>
        <v>13.534551241669529</v>
      </c>
      <c r="G25" s="1">
        <f>GEOMEAN(G5:G23)</f>
        <v>13.453242377229268</v>
      </c>
      <c r="H25" s="1">
        <f>GEOMEAN(H5:H23)</f>
        <v>2.4330910180168943</v>
      </c>
      <c r="I25" s="1">
        <f>GEOMEAN(I5:I23)</f>
        <v>2.4377680318750756</v>
      </c>
    </row>
    <row r="26" spans="1:18">
      <c r="D26" t="s">
        <v>76</v>
      </c>
      <c r="E26" s="1"/>
      <c r="F26" s="1">
        <v>21</v>
      </c>
      <c r="G26" s="1">
        <v>14</v>
      </c>
      <c r="H26" s="1">
        <v>21</v>
      </c>
      <c r="I26" s="1">
        <v>14</v>
      </c>
      <c r="K26" t="s">
        <v>77</v>
      </c>
      <c r="L26" s="1">
        <f>L27/19*100</f>
        <v>100</v>
      </c>
      <c r="M26" s="1">
        <f>M27/19*100</f>
        <v>100</v>
      </c>
    </row>
    <row r="27" spans="1:18">
      <c r="D27" t="s">
        <v>78</v>
      </c>
      <c r="E27" s="1"/>
      <c r="F27" s="1">
        <f>2*F26</f>
        <v>42</v>
      </c>
      <c r="G27" s="1">
        <f>2*G26</f>
        <v>28</v>
      </c>
      <c r="H27" s="1">
        <f>2*H26</f>
        <v>42</v>
      </c>
      <c r="I27" s="1">
        <f>2*I26</f>
        <v>28</v>
      </c>
      <c r="L27" s="1">
        <f>COUNTIF(L5:L23,0)</f>
        <v>19</v>
      </c>
      <c r="M27" s="1">
        <f>COUNTIF(M5:M23,0)</f>
        <v>19</v>
      </c>
    </row>
    <row r="28" spans="1:18">
      <c r="E28" s="1"/>
      <c r="F28" s="1"/>
      <c r="G28" s="1"/>
      <c r="H28" s="1"/>
      <c r="I28" s="1"/>
      <c r="K28" t="s">
        <v>79</v>
      </c>
      <c r="L28" s="1">
        <f>_xlfn.BINOM.DIST(COUNTIF(L5:L23,0),19,0.7,FALSE)</f>
        <v>1.1398895185373127E-3</v>
      </c>
      <c r="M28" s="1">
        <f>_xlfn.BINOM.DIST(COUNTIF(M5:M23,0),19,0.7,FALSE)</f>
        <v>1.1398895185373127E-3</v>
      </c>
    </row>
    <row r="29" spans="1:18">
      <c r="D29" s="1"/>
      <c r="E29" s="1"/>
      <c r="F29" s="1"/>
      <c r="G29" s="1"/>
      <c r="H29" s="1"/>
      <c r="I29" s="1"/>
      <c r="K29" t="s">
        <v>42</v>
      </c>
      <c r="L29" s="1">
        <f>(100-L28)</f>
        <v>99.998860110481459</v>
      </c>
      <c r="M29" s="1">
        <f>(100-M28)</f>
        <v>99.998860110481459</v>
      </c>
    </row>
    <row r="30" spans="1:18">
      <c r="E30" s="1"/>
      <c r="F30" s="1"/>
      <c r="G30" s="1"/>
      <c r="H30" s="1"/>
      <c r="I30" s="1"/>
      <c r="L30" s="1"/>
      <c r="M30" s="1"/>
    </row>
    <row r="31" spans="1:18">
      <c r="E31" s="1"/>
      <c r="F31" s="1"/>
      <c r="G31" s="1"/>
      <c r="H31" s="1"/>
      <c r="I31" s="1"/>
    </row>
    <row r="32" spans="1:18">
      <c r="E32" s="1"/>
      <c r="F32" s="1"/>
      <c r="G32" s="1"/>
      <c r="H32" s="1"/>
      <c r="I32" s="1"/>
    </row>
    <row r="33" spans="4:9">
      <c r="E33" s="1"/>
      <c r="F33" s="1"/>
      <c r="G33" s="1"/>
      <c r="H33" s="1"/>
      <c r="I33" s="1"/>
    </row>
    <row r="34" spans="4:9">
      <c r="E34" s="1"/>
      <c r="F34" s="1"/>
      <c r="G34" s="1"/>
      <c r="H34" s="1"/>
      <c r="I34" s="1"/>
    </row>
    <row r="35" spans="4:9">
      <c r="D35" t="s">
        <v>36</v>
      </c>
      <c r="E35" s="1"/>
      <c r="F35" s="1"/>
      <c r="G35" s="1"/>
      <c r="H35" s="1">
        <f>COUNTA(H5:H23)</f>
        <v>19</v>
      </c>
      <c r="I35" s="1">
        <f>COUNTA(I5:I23)</f>
        <v>19</v>
      </c>
    </row>
    <row r="36" spans="4:9">
      <c r="D36" t="s">
        <v>37</v>
      </c>
      <c r="E36" s="1"/>
      <c r="F36" s="1"/>
      <c r="G36" s="1"/>
      <c r="H36" s="1">
        <f>H25</f>
        <v>2.4330910180168943</v>
      </c>
      <c r="I36" s="1">
        <f>I25</f>
        <v>2.4377680318750756</v>
      </c>
    </row>
    <row r="37" spans="4:9">
      <c r="D37" t="s">
        <v>80</v>
      </c>
      <c r="E37" s="1"/>
      <c r="F37" s="1"/>
      <c r="G37" s="1"/>
      <c r="H37" s="1">
        <f>_xlfn.STDEV.S(H5:H23)</f>
        <v>0.84860621120503787</v>
      </c>
      <c r="I37" s="1">
        <f>_xlfn.STDEV.S(I5:I23)</f>
        <v>0.83210031184336997</v>
      </c>
    </row>
    <row r="38" spans="4:9">
      <c r="D38" t="s">
        <v>81</v>
      </c>
      <c r="E38" s="1"/>
      <c r="F38" s="1"/>
      <c r="G38" s="1"/>
      <c r="H38" s="1">
        <f>LN(H39)</f>
        <v>3.7376696182833684</v>
      </c>
      <c r="I38" s="1">
        <f>LN(I39)</f>
        <v>3.3322045101752038</v>
      </c>
    </row>
    <row r="39" spans="4:9">
      <c r="D39" t="s">
        <v>39</v>
      </c>
      <c r="E39" s="1"/>
      <c r="F39" s="1"/>
      <c r="G39" s="1"/>
      <c r="H39" s="1">
        <f>H27</f>
        <v>42</v>
      </c>
      <c r="I39" s="1">
        <f>I27</f>
        <v>28</v>
      </c>
    </row>
    <row r="40" spans="4:9">
      <c r="D40" t="s">
        <v>40</v>
      </c>
      <c r="E40" s="1"/>
      <c r="F40" s="1"/>
      <c r="G40" s="1"/>
      <c r="H40" s="1">
        <f>(H38-H36)/(H37/SQRT(H35))</f>
        <v>6.7010189265434716</v>
      </c>
      <c r="I40" s="1">
        <f>(I38-I36)/(I37/SQRT(I35))</f>
        <v>4.6854425660407042</v>
      </c>
    </row>
    <row r="41" spans="4:9">
      <c r="D41" t="s">
        <v>41</v>
      </c>
      <c r="E41" s="1"/>
      <c r="F41" s="1"/>
      <c r="G41" s="1"/>
      <c r="H41" s="1">
        <f>_xlfn.T.DIST.RT(H40, H35-1)</f>
        <v>1.3850564581759646E-6</v>
      </c>
      <c r="I41" s="1">
        <f>_xlfn.T.DIST.RT(I40, I35-1)</f>
        <v>9.2117682262657231E-5</v>
      </c>
    </row>
    <row r="42" spans="4:9">
      <c r="E42" s="1"/>
      <c r="F42" s="1"/>
      <c r="G42" s="1"/>
      <c r="H42" s="1">
        <f>100- (H41*100)</f>
        <v>99.999861494354178</v>
      </c>
      <c r="I42" s="1">
        <f>100- (I41*100)</f>
        <v>99.990788231773735</v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327B-2E4E-42C3-9EB4-5EA702BCB192}">
  <dimension ref="A1:AK33"/>
  <sheetViews>
    <sheetView tabSelected="1" zoomScale="85" zoomScaleNormal="85" workbookViewId="0">
      <selection activeCell="AK24" sqref="AK24"/>
    </sheetView>
  </sheetViews>
  <sheetFormatPr baseColWidth="10" defaultColWidth="11.42578125" defaultRowHeight="15"/>
  <cols>
    <col min="2" max="2" width="20.42578125" customWidth="1"/>
    <col min="3" max="3" width="20.28515625" customWidth="1"/>
    <col min="4" max="4" width="18.140625" customWidth="1"/>
    <col min="5" max="5" width="18.7109375" customWidth="1"/>
    <col min="6" max="6" width="22.28515625" customWidth="1"/>
    <col min="7" max="7" width="18.85546875" customWidth="1"/>
    <col min="8" max="8" width="17.7109375" customWidth="1"/>
    <col min="9" max="9" width="15.42578125" customWidth="1"/>
    <col min="10" max="10" width="12.7109375" customWidth="1"/>
    <col min="11" max="11" width="20.140625" customWidth="1"/>
    <col min="12" max="12" width="21.28515625" customWidth="1"/>
    <col min="13" max="13" width="22.42578125" customWidth="1"/>
    <col min="14" max="14" width="19.7109375" customWidth="1"/>
    <col min="15" max="15" width="20.28515625" customWidth="1"/>
    <col min="16" max="16" width="19.42578125" customWidth="1"/>
    <col min="17" max="17" width="18.28515625" customWidth="1"/>
    <col min="18" max="18" width="14.7109375" customWidth="1"/>
    <col min="19" max="19" width="27.7109375" customWidth="1"/>
    <col min="20" max="20" width="13.7109375" customWidth="1"/>
    <col min="21" max="21" width="18.7109375" customWidth="1"/>
    <col min="22" max="22" width="10.85546875" customWidth="1"/>
    <col min="23" max="23" width="15.7109375" customWidth="1"/>
    <col min="24" max="24" width="8.7109375" customWidth="1"/>
    <col min="25" max="25" width="17.28515625" style="1" customWidth="1"/>
    <col min="26" max="26" width="14.7109375" customWidth="1"/>
    <col min="27" max="27" width="14.5703125" customWidth="1"/>
    <col min="28" max="28" width="9.7109375" customWidth="1"/>
    <col min="29" max="29" width="17.85546875" style="1" customWidth="1"/>
    <col min="30" max="30" width="10.85546875" customWidth="1"/>
    <col min="31" max="31" width="21.28515625" customWidth="1"/>
    <col min="32" max="32" width="12.42578125" customWidth="1"/>
    <col min="33" max="33" width="17.85546875" style="1" customWidth="1"/>
    <col min="37" max="37" width="16.42578125" customWidth="1"/>
  </cols>
  <sheetData>
    <row r="1" spans="1:37" ht="15.75">
      <c r="A1" s="21" t="s">
        <v>82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37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83</v>
      </c>
      <c r="M2" s="2" t="s">
        <v>84</v>
      </c>
      <c r="N2" s="2" t="s">
        <v>85</v>
      </c>
      <c r="O2" s="2" t="s">
        <v>86</v>
      </c>
      <c r="P2" s="2" t="s">
        <v>87</v>
      </c>
      <c r="Q2" s="2" t="s">
        <v>88</v>
      </c>
      <c r="R2" s="20" t="s">
        <v>89</v>
      </c>
      <c r="S2" s="20"/>
      <c r="T2" s="20"/>
      <c r="U2" s="20"/>
      <c r="V2" s="20" t="s">
        <v>90</v>
      </c>
      <c r="W2" s="20"/>
      <c r="X2" s="20"/>
      <c r="Y2" s="20"/>
      <c r="Z2" s="20" t="s">
        <v>91</v>
      </c>
      <c r="AA2" s="20"/>
      <c r="AB2" s="20"/>
      <c r="AC2" s="20"/>
      <c r="AD2" s="20" t="s">
        <v>92</v>
      </c>
      <c r="AE2" s="20"/>
      <c r="AF2" s="20"/>
      <c r="AG2" s="20"/>
      <c r="AH2" s="20" t="s">
        <v>82</v>
      </c>
      <c r="AI2" s="20"/>
      <c r="AJ2" s="20"/>
      <c r="AK2" s="20"/>
    </row>
    <row r="3" spans="1:37" ht="15" customHeight="1">
      <c r="B3" s="2" t="s">
        <v>93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  <c r="M3" s="2" t="s">
        <v>104</v>
      </c>
      <c r="N3" s="2" t="s">
        <v>105</v>
      </c>
      <c r="O3" s="2" t="s">
        <v>106</v>
      </c>
      <c r="P3" s="2" t="s">
        <v>107</v>
      </c>
      <c r="Q3" s="2" t="s">
        <v>108</v>
      </c>
      <c r="R3" s="20" t="s">
        <v>109</v>
      </c>
      <c r="S3" s="20"/>
      <c r="T3" s="20"/>
      <c r="U3" s="20"/>
      <c r="V3" s="22" t="s">
        <v>110</v>
      </c>
      <c r="W3" s="22"/>
      <c r="X3" s="22"/>
      <c r="Y3" s="22"/>
      <c r="Z3" s="20" t="s">
        <v>111</v>
      </c>
      <c r="AA3" s="20"/>
      <c r="AB3" s="20"/>
      <c r="AC3" s="20"/>
      <c r="AD3" s="20" t="s">
        <v>112</v>
      </c>
      <c r="AE3" s="20"/>
      <c r="AF3" s="20"/>
      <c r="AG3" s="20"/>
      <c r="AH3" s="20"/>
      <c r="AI3" s="20"/>
      <c r="AJ3" s="20"/>
      <c r="AK3" s="20"/>
    </row>
    <row r="4" spans="1:37" ht="150" customHeight="1">
      <c r="A4" s="2" t="s">
        <v>54</v>
      </c>
      <c r="B4" s="6" t="s">
        <v>113</v>
      </c>
      <c r="C4" s="6" t="s">
        <v>114</v>
      </c>
      <c r="D4" s="6" t="s">
        <v>115</v>
      </c>
      <c r="E4" s="6" t="s">
        <v>116</v>
      </c>
      <c r="F4" s="6" t="s">
        <v>117</v>
      </c>
      <c r="G4" s="6" t="s">
        <v>118</v>
      </c>
      <c r="H4" s="6" t="s">
        <v>119</v>
      </c>
      <c r="I4" s="6" t="s">
        <v>120</v>
      </c>
      <c r="J4" s="6" t="s">
        <v>121</v>
      </c>
      <c r="K4" s="6" t="s">
        <v>122</v>
      </c>
      <c r="L4" s="6" t="s">
        <v>123</v>
      </c>
      <c r="M4" s="6" t="s">
        <v>124</v>
      </c>
      <c r="N4" s="6" t="s">
        <v>125</v>
      </c>
      <c r="O4" s="6" t="s">
        <v>126</v>
      </c>
      <c r="P4" s="6" t="s">
        <v>127</v>
      </c>
      <c r="Q4" s="6" t="s">
        <v>128</v>
      </c>
      <c r="R4" s="2" t="s">
        <v>129</v>
      </c>
      <c r="S4" s="2" t="s">
        <v>130</v>
      </c>
      <c r="T4" s="2" t="s">
        <v>131</v>
      </c>
      <c r="U4" s="2" t="s">
        <v>34</v>
      </c>
      <c r="V4" s="2" t="s">
        <v>129</v>
      </c>
      <c r="W4" s="2" t="s">
        <v>130</v>
      </c>
      <c r="X4" s="2" t="s">
        <v>131</v>
      </c>
      <c r="Y4" s="2" t="s">
        <v>34</v>
      </c>
      <c r="Z4" s="2" t="s">
        <v>129</v>
      </c>
      <c r="AA4" s="2" t="s">
        <v>130</v>
      </c>
      <c r="AB4" s="2" t="s">
        <v>131</v>
      </c>
      <c r="AC4" s="2" t="s">
        <v>34</v>
      </c>
      <c r="AD4" s="2" t="s">
        <v>129</v>
      </c>
      <c r="AE4" s="2" t="s">
        <v>130</v>
      </c>
      <c r="AF4" s="2" t="s">
        <v>131</v>
      </c>
      <c r="AG4" s="2" t="s">
        <v>34</v>
      </c>
      <c r="AH4" s="2" t="s">
        <v>129</v>
      </c>
      <c r="AI4" s="2" t="s">
        <v>130</v>
      </c>
      <c r="AJ4" s="2" t="s">
        <v>131</v>
      </c>
      <c r="AK4" s="2" t="s">
        <v>34</v>
      </c>
    </row>
    <row r="5" spans="1:37">
      <c r="A5" s="1">
        <v>1</v>
      </c>
      <c r="B5" s="1">
        <v>5</v>
      </c>
      <c r="C5" s="1">
        <v>5</v>
      </c>
      <c r="D5" s="1">
        <v>4</v>
      </c>
      <c r="E5" s="1">
        <v>4</v>
      </c>
      <c r="F5" s="1">
        <v>5</v>
      </c>
      <c r="G5" s="1">
        <v>5</v>
      </c>
      <c r="H5" s="1">
        <v>5</v>
      </c>
      <c r="I5" s="1">
        <v>5</v>
      </c>
      <c r="J5" s="1">
        <v>4</v>
      </c>
      <c r="K5" s="1">
        <v>4</v>
      </c>
      <c r="L5" s="1">
        <v>5</v>
      </c>
      <c r="M5" s="1">
        <v>5</v>
      </c>
      <c r="N5" s="1">
        <v>5</v>
      </c>
      <c r="O5" s="1">
        <v>5</v>
      </c>
      <c r="P5" s="1">
        <v>5</v>
      </c>
      <c r="Q5" s="1">
        <v>5</v>
      </c>
      <c r="R5" s="8">
        <f>IF(COUNT(B5,C5,J5,K5)=0,0,AVERAGE(B5,C5,J5,K5))</f>
        <v>4.5</v>
      </c>
      <c r="S5" s="14">
        <f>IF(COUNT(B5,C5,J5,K5)=0,0,_xlfn.STDEV.S(B5,C5,J5,K5))</f>
        <v>0.57735026918962573</v>
      </c>
      <c r="T5" s="8">
        <f>IF(COUNT(B5,C5,J5,K5)=0,0,MEDIAN(B5,C5,J5,K5))</f>
        <v>4.5</v>
      </c>
      <c r="U5" s="8">
        <f t="shared" ref="U5:U23" si="0">SUM(B5,C5,J5,K5)</f>
        <v>18</v>
      </c>
      <c r="V5" s="1">
        <f t="shared" ref="V5:V23" si="1">IF(COUNT(D5:H5)=0,0,AVERAGE(D5:H5))</f>
        <v>4.5999999999999996</v>
      </c>
      <c r="W5" s="1">
        <f t="shared" ref="W5:W23" si="2">IF(COUNT(D5:H5)=0,0,_xlfn.STDEV.S(D5:H5))</f>
        <v>0.54772255750516674</v>
      </c>
      <c r="X5" s="1">
        <f t="shared" ref="X5:X23" si="3">IF(COUNT(D5:H5)=0,0,MEDIAN(D5:H5))</f>
        <v>5</v>
      </c>
      <c r="Y5" s="1">
        <f t="shared" ref="Y5:Y23" si="4">SUM(D5:H5)</f>
        <v>23</v>
      </c>
      <c r="Z5" s="1">
        <f t="shared" ref="Z5:Z23" si="5">IF(COUNT(I5,L5,M5)=0,0,AVERAGE(I5,L5,M5))</f>
        <v>5</v>
      </c>
      <c r="AA5" s="1">
        <f t="shared" ref="AA5:AA23" si="6">IF(COUNT(I5,L5,M5)=0,0,_xlfn.STDEV.S(I5,L5,M5))</f>
        <v>0</v>
      </c>
      <c r="AB5" s="1">
        <f t="shared" ref="AB5:AB23" si="7">IF(COUNT(I5,L5,M5)=0,0,MEDIAN(I5,L5,M5))</f>
        <v>5</v>
      </c>
      <c r="AC5" s="1">
        <f t="shared" ref="AC5:AC23" si="8">SUM(I5,L5,M5)</f>
        <v>15</v>
      </c>
      <c r="AD5" s="1">
        <f t="shared" ref="AD5:AD23" si="9">IF(COUNT(N5:Q5)=0,0,AVERAGE(N5:Q5))</f>
        <v>5</v>
      </c>
      <c r="AE5" s="1">
        <f t="shared" ref="AE5:AE23" si="10">IF(COUNT(N5:Q5)=0,0,_xlfn.STDEV.S(N5:Q5))</f>
        <v>0</v>
      </c>
      <c r="AF5" s="1">
        <f t="shared" ref="AF5:AF23" si="11">IF(COUNT(N5:Q5)=0,0,MEDIAN(N5:Q5))</f>
        <v>5</v>
      </c>
      <c r="AG5" s="1">
        <f t="shared" ref="AG5:AG23" si="12">SUM(N5:Q5)</f>
        <v>20</v>
      </c>
      <c r="AH5" s="9">
        <f t="shared" ref="AH5:AH23" si="13">AVERAGE(VALUE(B5),VALUE(Q5))</f>
        <v>5</v>
      </c>
      <c r="AI5" s="1">
        <f t="shared" ref="AI5:AI23" si="14">IF(COUNT(B5,Q5)=0,0,_xlfn.STDEV.S(B5,Q5))</f>
        <v>0</v>
      </c>
      <c r="AJ5" s="1">
        <f t="shared" ref="AJ5:AJ23" si="15">IF(COUNT(B5,Q5)=0,0,MEDIAN(B5,Q5))</f>
        <v>5</v>
      </c>
      <c r="AK5" s="1">
        <f t="shared" ref="AK5:AK23" si="16">SUM(B5:Q5)</f>
        <v>76</v>
      </c>
    </row>
    <row r="6" spans="1:37">
      <c r="A6" s="1">
        <v>2</v>
      </c>
      <c r="B6" s="1">
        <v>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v>5</v>
      </c>
      <c r="J6" s="1">
        <v>5</v>
      </c>
      <c r="K6" s="1">
        <v>5</v>
      </c>
      <c r="L6" s="1">
        <v>5</v>
      </c>
      <c r="M6" s="1">
        <v>5</v>
      </c>
      <c r="N6" s="1">
        <v>4</v>
      </c>
      <c r="O6" s="1">
        <v>5</v>
      </c>
      <c r="P6" s="1">
        <v>5</v>
      </c>
      <c r="Q6" s="1">
        <v>5</v>
      </c>
      <c r="R6" s="8">
        <f t="shared" ref="R6:R23" si="17">IF(COUNT(B6,C6,J6,K6)=0,0,AVERAGE(B6,C6,J6,K6))</f>
        <v>5</v>
      </c>
      <c r="S6" s="14">
        <f t="shared" ref="S6:S23" si="18">IF(COUNT(B6,C6,J6,K6)=0,0,_xlfn.STDEV.S(B6,C6,J6,K6))</f>
        <v>0</v>
      </c>
      <c r="T6" s="8">
        <f t="shared" ref="T6:T23" si="19">IF(COUNT(B6,C6,J6,K6)=0,0,MEDIAN(B6,C6,J6,K6))</f>
        <v>5</v>
      </c>
      <c r="U6" s="8">
        <f t="shared" si="0"/>
        <v>20</v>
      </c>
      <c r="V6" s="1">
        <f t="shared" si="1"/>
        <v>5</v>
      </c>
      <c r="W6" s="1">
        <f t="shared" si="2"/>
        <v>0</v>
      </c>
      <c r="X6" s="1">
        <f t="shared" si="3"/>
        <v>5</v>
      </c>
      <c r="Y6" s="1">
        <f t="shared" si="4"/>
        <v>25</v>
      </c>
      <c r="Z6" s="1">
        <f t="shared" si="5"/>
        <v>5</v>
      </c>
      <c r="AA6" s="1">
        <f t="shared" si="6"/>
        <v>0</v>
      </c>
      <c r="AB6" s="1">
        <f t="shared" si="7"/>
        <v>5</v>
      </c>
      <c r="AC6" s="1">
        <f t="shared" si="8"/>
        <v>15</v>
      </c>
      <c r="AD6" s="1">
        <f t="shared" si="9"/>
        <v>4.75</v>
      </c>
      <c r="AE6" s="1">
        <f t="shared" si="10"/>
        <v>0.5</v>
      </c>
      <c r="AF6" s="1">
        <f t="shared" si="11"/>
        <v>5</v>
      </c>
      <c r="AG6" s="1">
        <f t="shared" si="12"/>
        <v>19</v>
      </c>
      <c r="AH6" s="9">
        <f t="shared" si="13"/>
        <v>5</v>
      </c>
      <c r="AI6" s="1">
        <f t="shared" si="14"/>
        <v>0</v>
      </c>
      <c r="AJ6" s="1">
        <f t="shared" si="15"/>
        <v>5</v>
      </c>
      <c r="AK6" s="1">
        <f t="shared" si="16"/>
        <v>79</v>
      </c>
    </row>
    <row r="7" spans="1:37">
      <c r="A7" s="1">
        <v>3</v>
      </c>
      <c r="B7" s="1">
        <v>5</v>
      </c>
      <c r="C7" s="1">
        <v>5</v>
      </c>
      <c r="D7" s="1">
        <v>3</v>
      </c>
      <c r="E7" s="1">
        <v>5</v>
      </c>
      <c r="F7" s="1">
        <v>4</v>
      </c>
      <c r="G7" s="1">
        <v>5</v>
      </c>
      <c r="H7" s="1">
        <v>4</v>
      </c>
      <c r="I7" s="1">
        <v>4</v>
      </c>
      <c r="J7" s="1">
        <v>5</v>
      </c>
      <c r="K7" s="1">
        <v>5</v>
      </c>
      <c r="L7" s="1">
        <v>4</v>
      </c>
      <c r="M7" s="1">
        <v>4</v>
      </c>
      <c r="N7" s="1">
        <v>5</v>
      </c>
      <c r="O7" s="1">
        <v>4</v>
      </c>
      <c r="P7" s="1">
        <v>4</v>
      </c>
      <c r="Q7" s="1">
        <v>5</v>
      </c>
      <c r="R7" s="8">
        <f t="shared" si="17"/>
        <v>5</v>
      </c>
      <c r="S7" s="14">
        <f t="shared" si="18"/>
        <v>0</v>
      </c>
      <c r="T7" s="8">
        <f t="shared" si="19"/>
        <v>5</v>
      </c>
      <c r="U7" s="8">
        <f t="shared" si="0"/>
        <v>20</v>
      </c>
      <c r="V7" s="1">
        <f t="shared" si="1"/>
        <v>4.2</v>
      </c>
      <c r="W7" s="1">
        <f t="shared" si="2"/>
        <v>0.83666002653407512</v>
      </c>
      <c r="X7" s="1">
        <f t="shared" si="3"/>
        <v>4</v>
      </c>
      <c r="Y7" s="1">
        <f t="shared" si="4"/>
        <v>21</v>
      </c>
      <c r="Z7" s="1">
        <f t="shared" si="5"/>
        <v>4</v>
      </c>
      <c r="AA7" s="1">
        <f t="shared" si="6"/>
        <v>0</v>
      </c>
      <c r="AB7" s="1">
        <f t="shared" si="7"/>
        <v>4</v>
      </c>
      <c r="AC7" s="1">
        <f t="shared" si="8"/>
        <v>12</v>
      </c>
      <c r="AD7" s="1">
        <f t="shared" si="9"/>
        <v>4.5</v>
      </c>
      <c r="AE7" s="1">
        <f t="shared" si="10"/>
        <v>0.57735026918962573</v>
      </c>
      <c r="AF7" s="1">
        <f t="shared" si="11"/>
        <v>4.5</v>
      </c>
      <c r="AG7" s="1">
        <f t="shared" si="12"/>
        <v>18</v>
      </c>
      <c r="AH7" s="9">
        <f t="shared" si="13"/>
        <v>5</v>
      </c>
      <c r="AI7" s="1">
        <f t="shared" si="14"/>
        <v>0</v>
      </c>
      <c r="AJ7" s="1">
        <f t="shared" si="15"/>
        <v>5</v>
      </c>
      <c r="AK7" s="1">
        <f t="shared" si="16"/>
        <v>71</v>
      </c>
    </row>
    <row r="8" spans="1:37">
      <c r="A8" s="1">
        <v>4</v>
      </c>
      <c r="B8" s="1">
        <v>5</v>
      </c>
      <c r="C8" s="1">
        <v>5</v>
      </c>
      <c r="D8" s="1">
        <v>4</v>
      </c>
      <c r="E8" s="1">
        <v>4</v>
      </c>
      <c r="F8" s="1">
        <v>5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5</v>
      </c>
      <c r="P8" s="1">
        <v>4</v>
      </c>
      <c r="Q8" s="1">
        <v>5</v>
      </c>
      <c r="R8" s="8">
        <f t="shared" si="17"/>
        <v>5</v>
      </c>
      <c r="S8" s="14">
        <f t="shared" si="18"/>
        <v>0</v>
      </c>
      <c r="T8" s="8">
        <f t="shared" si="19"/>
        <v>5</v>
      </c>
      <c r="U8" s="8">
        <f t="shared" si="0"/>
        <v>20</v>
      </c>
      <c r="V8" s="1">
        <f t="shared" si="1"/>
        <v>4.5999999999999996</v>
      </c>
      <c r="W8" s="1">
        <f t="shared" si="2"/>
        <v>0.54772255750516674</v>
      </c>
      <c r="X8" s="1">
        <f t="shared" si="3"/>
        <v>5</v>
      </c>
      <c r="Y8" s="1">
        <f t="shared" si="4"/>
        <v>23</v>
      </c>
      <c r="Z8" s="1">
        <f t="shared" si="5"/>
        <v>5</v>
      </c>
      <c r="AA8" s="1">
        <f t="shared" si="6"/>
        <v>0</v>
      </c>
      <c r="AB8" s="1">
        <f t="shared" si="7"/>
        <v>5</v>
      </c>
      <c r="AC8" s="1">
        <f t="shared" si="8"/>
        <v>15</v>
      </c>
      <c r="AD8" s="1">
        <f t="shared" si="9"/>
        <v>4.75</v>
      </c>
      <c r="AE8" s="1">
        <f t="shared" si="10"/>
        <v>0.5</v>
      </c>
      <c r="AF8" s="1">
        <f t="shared" si="11"/>
        <v>5</v>
      </c>
      <c r="AG8" s="1">
        <f t="shared" si="12"/>
        <v>19</v>
      </c>
      <c r="AH8" s="9">
        <f t="shared" si="13"/>
        <v>5</v>
      </c>
      <c r="AI8" s="1">
        <f t="shared" si="14"/>
        <v>0</v>
      </c>
      <c r="AJ8" s="1">
        <f t="shared" si="15"/>
        <v>5</v>
      </c>
      <c r="AK8" s="1">
        <f t="shared" si="16"/>
        <v>77</v>
      </c>
    </row>
    <row r="9" spans="1:37">
      <c r="A9" s="1">
        <v>5</v>
      </c>
      <c r="B9" s="1">
        <v>5</v>
      </c>
      <c r="C9" s="1">
        <v>5</v>
      </c>
      <c r="D9" s="1">
        <v>4</v>
      </c>
      <c r="E9" s="1">
        <v>4</v>
      </c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5</v>
      </c>
      <c r="L9" s="1">
        <v>5</v>
      </c>
      <c r="M9" s="1">
        <v>5</v>
      </c>
      <c r="N9" s="1">
        <v>4</v>
      </c>
      <c r="O9" s="1">
        <v>5</v>
      </c>
      <c r="P9" s="1">
        <v>5</v>
      </c>
      <c r="Q9" s="1">
        <v>5</v>
      </c>
      <c r="R9" s="8">
        <f t="shared" si="17"/>
        <v>5</v>
      </c>
      <c r="S9" s="14">
        <f t="shared" si="18"/>
        <v>0</v>
      </c>
      <c r="T9" s="8">
        <f t="shared" si="19"/>
        <v>5</v>
      </c>
      <c r="U9" s="8">
        <f t="shared" si="0"/>
        <v>20</v>
      </c>
      <c r="V9" s="1">
        <f t="shared" si="1"/>
        <v>4.5999999999999996</v>
      </c>
      <c r="W9" s="1">
        <f t="shared" si="2"/>
        <v>0.54772255750516674</v>
      </c>
      <c r="X9" s="1">
        <f t="shared" si="3"/>
        <v>5</v>
      </c>
      <c r="Y9" s="1">
        <f t="shared" si="4"/>
        <v>23</v>
      </c>
      <c r="Z9" s="1">
        <f t="shared" si="5"/>
        <v>5</v>
      </c>
      <c r="AA9" s="1">
        <f t="shared" si="6"/>
        <v>0</v>
      </c>
      <c r="AB9" s="1">
        <f t="shared" si="7"/>
        <v>5</v>
      </c>
      <c r="AC9" s="1">
        <f t="shared" si="8"/>
        <v>15</v>
      </c>
      <c r="AD9" s="1">
        <f t="shared" si="9"/>
        <v>4.75</v>
      </c>
      <c r="AE9" s="1">
        <f t="shared" si="10"/>
        <v>0.5</v>
      </c>
      <c r="AF9" s="1">
        <f t="shared" si="11"/>
        <v>5</v>
      </c>
      <c r="AG9" s="1">
        <f t="shared" si="12"/>
        <v>19</v>
      </c>
      <c r="AH9" s="9">
        <f t="shared" si="13"/>
        <v>5</v>
      </c>
      <c r="AI9" s="1">
        <f t="shared" si="14"/>
        <v>0</v>
      </c>
      <c r="AJ9" s="1">
        <f t="shared" si="15"/>
        <v>5</v>
      </c>
      <c r="AK9" s="1">
        <f t="shared" si="16"/>
        <v>77</v>
      </c>
    </row>
    <row r="10" spans="1:37">
      <c r="A10" s="1">
        <v>6</v>
      </c>
      <c r="B10" s="1">
        <v>5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v>5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R10" s="8">
        <f t="shared" si="17"/>
        <v>5</v>
      </c>
      <c r="S10" s="14">
        <f t="shared" si="18"/>
        <v>0</v>
      </c>
      <c r="T10" s="8">
        <f t="shared" si="19"/>
        <v>5</v>
      </c>
      <c r="U10" s="8">
        <f t="shared" si="0"/>
        <v>20</v>
      </c>
      <c r="V10" s="1">
        <f t="shared" si="1"/>
        <v>5</v>
      </c>
      <c r="W10" s="1">
        <f t="shared" si="2"/>
        <v>0</v>
      </c>
      <c r="X10" s="1">
        <f t="shared" si="3"/>
        <v>5</v>
      </c>
      <c r="Y10" s="1">
        <f t="shared" si="4"/>
        <v>25</v>
      </c>
      <c r="Z10" s="1">
        <f t="shared" si="5"/>
        <v>5</v>
      </c>
      <c r="AA10" s="1">
        <f t="shared" si="6"/>
        <v>0</v>
      </c>
      <c r="AB10" s="1">
        <f t="shared" si="7"/>
        <v>5</v>
      </c>
      <c r="AC10" s="1">
        <f t="shared" si="8"/>
        <v>15</v>
      </c>
      <c r="AD10" s="1">
        <f t="shared" si="9"/>
        <v>5</v>
      </c>
      <c r="AE10" s="1">
        <f t="shared" si="10"/>
        <v>0</v>
      </c>
      <c r="AF10" s="1">
        <f t="shared" si="11"/>
        <v>5</v>
      </c>
      <c r="AG10" s="1">
        <f t="shared" si="12"/>
        <v>20</v>
      </c>
      <c r="AH10" s="9">
        <f t="shared" si="13"/>
        <v>5</v>
      </c>
      <c r="AI10" s="1">
        <f t="shared" si="14"/>
        <v>0</v>
      </c>
      <c r="AJ10" s="1">
        <f t="shared" si="15"/>
        <v>5</v>
      </c>
      <c r="AK10" s="1">
        <f t="shared" si="16"/>
        <v>80</v>
      </c>
    </row>
    <row r="11" spans="1:37">
      <c r="A11" s="1">
        <v>7</v>
      </c>
      <c r="B11" s="1">
        <v>4</v>
      </c>
      <c r="C11" s="1">
        <v>4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4</v>
      </c>
      <c r="K11" s="1">
        <v>4</v>
      </c>
      <c r="L11" s="1">
        <v>3</v>
      </c>
      <c r="M11" s="1">
        <v>2</v>
      </c>
      <c r="N11" s="1">
        <v>2</v>
      </c>
      <c r="O11" s="1">
        <v>2</v>
      </c>
      <c r="P11" s="1">
        <v>2</v>
      </c>
      <c r="Q11" s="1">
        <v>1</v>
      </c>
      <c r="R11" s="8">
        <f t="shared" si="17"/>
        <v>4</v>
      </c>
      <c r="S11" s="14">
        <f t="shared" si="18"/>
        <v>0</v>
      </c>
      <c r="T11" s="8">
        <f t="shared" si="19"/>
        <v>4</v>
      </c>
      <c r="U11" s="8">
        <f t="shared" si="0"/>
        <v>16</v>
      </c>
      <c r="V11" s="1">
        <f t="shared" si="1"/>
        <v>2</v>
      </c>
      <c r="W11" s="1">
        <f t="shared" si="2"/>
        <v>0</v>
      </c>
      <c r="X11" s="1">
        <f t="shared" si="3"/>
        <v>2</v>
      </c>
      <c r="Y11" s="1">
        <f t="shared" si="4"/>
        <v>10</v>
      </c>
      <c r="Z11" s="1">
        <f t="shared" si="5"/>
        <v>2.3333333333333335</v>
      </c>
      <c r="AA11" s="1">
        <f t="shared" si="6"/>
        <v>0.57735026918962629</v>
      </c>
      <c r="AB11" s="1">
        <f t="shared" si="7"/>
        <v>2</v>
      </c>
      <c r="AC11" s="1">
        <f t="shared" si="8"/>
        <v>7</v>
      </c>
      <c r="AD11" s="1">
        <f t="shared" si="9"/>
        <v>1.75</v>
      </c>
      <c r="AE11" s="1">
        <f t="shared" si="10"/>
        <v>0.5</v>
      </c>
      <c r="AF11" s="1">
        <f t="shared" si="11"/>
        <v>2</v>
      </c>
      <c r="AG11" s="1">
        <f t="shared" si="12"/>
        <v>7</v>
      </c>
      <c r="AH11" s="9">
        <f t="shared" si="13"/>
        <v>2.5</v>
      </c>
      <c r="AI11" s="1">
        <f t="shared" si="14"/>
        <v>2.1213203435596424</v>
      </c>
      <c r="AJ11" s="1">
        <f t="shared" si="15"/>
        <v>2.5</v>
      </c>
      <c r="AK11" s="1">
        <f t="shared" si="16"/>
        <v>40</v>
      </c>
    </row>
    <row r="12" spans="1:37">
      <c r="A12" s="1">
        <v>8</v>
      </c>
      <c r="B12" s="1">
        <v>5</v>
      </c>
      <c r="C12" s="1">
        <v>5</v>
      </c>
      <c r="D12" s="1">
        <v>4</v>
      </c>
      <c r="E12" s="1">
        <v>4</v>
      </c>
      <c r="F12" s="1">
        <v>5</v>
      </c>
      <c r="G12" s="1">
        <v>4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4</v>
      </c>
      <c r="N12" s="1">
        <v>5</v>
      </c>
      <c r="O12" s="1">
        <v>5</v>
      </c>
      <c r="P12" s="1">
        <v>5</v>
      </c>
      <c r="Q12" s="1">
        <v>4</v>
      </c>
      <c r="R12" s="8">
        <f t="shared" si="17"/>
        <v>5</v>
      </c>
      <c r="S12" s="14">
        <f t="shared" si="18"/>
        <v>0</v>
      </c>
      <c r="T12" s="8">
        <f t="shared" si="19"/>
        <v>5</v>
      </c>
      <c r="U12" s="8">
        <f t="shared" si="0"/>
        <v>20</v>
      </c>
      <c r="V12" s="1">
        <f t="shared" si="1"/>
        <v>4.4000000000000004</v>
      </c>
      <c r="W12" s="1">
        <f t="shared" si="2"/>
        <v>0.54772255750516674</v>
      </c>
      <c r="X12" s="1">
        <f t="shared" si="3"/>
        <v>4</v>
      </c>
      <c r="Y12" s="1">
        <f t="shared" si="4"/>
        <v>22</v>
      </c>
      <c r="Z12" s="1">
        <f t="shared" si="5"/>
        <v>4.666666666666667</v>
      </c>
      <c r="AA12" s="1">
        <f t="shared" si="6"/>
        <v>0.57735026918962784</v>
      </c>
      <c r="AB12" s="1">
        <f t="shared" si="7"/>
        <v>5</v>
      </c>
      <c r="AC12" s="1">
        <f t="shared" si="8"/>
        <v>14</v>
      </c>
      <c r="AD12" s="1">
        <f t="shared" si="9"/>
        <v>4.75</v>
      </c>
      <c r="AE12" s="1">
        <f t="shared" si="10"/>
        <v>0.5</v>
      </c>
      <c r="AF12" s="1">
        <f t="shared" si="11"/>
        <v>5</v>
      </c>
      <c r="AG12" s="1">
        <f t="shared" si="12"/>
        <v>19</v>
      </c>
      <c r="AH12" s="9">
        <f t="shared" si="13"/>
        <v>4.5</v>
      </c>
      <c r="AI12" s="1">
        <f t="shared" si="14"/>
        <v>0.70710678118654757</v>
      </c>
      <c r="AJ12" s="1">
        <f t="shared" si="15"/>
        <v>4.5</v>
      </c>
      <c r="AK12" s="1">
        <f t="shared" si="16"/>
        <v>75</v>
      </c>
    </row>
    <row r="13" spans="1:37">
      <c r="A13" s="1">
        <v>9</v>
      </c>
      <c r="B13" s="1">
        <v>4</v>
      </c>
      <c r="C13" s="1">
        <v>5</v>
      </c>
      <c r="D13" s="1">
        <v>4</v>
      </c>
      <c r="E13" s="1">
        <v>3</v>
      </c>
      <c r="F13" s="1">
        <v>4</v>
      </c>
      <c r="G13" s="1">
        <v>4</v>
      </c>
      <c r="H13" s="1">
        <v>5</v>
      </c>
      <c r="I13" s="1">
        <v>4</v>
      </c>
      <c r="J13" s="1">
        <v>5</v>
      </c>
      <c r="K13" s="1">
        <v>5</v>
      </c>
      <c r="L13" s="1">
        <v>5</v>
      </c>
      <c r="M13" s="1">
        <v>5</v>
      </c>
      <c r="N13" s="1">
        <v>4</v>
      </c>
      <c r="O13" s="1">
        <v>5</v>
      </c>
      <c r="P13" s="1">
        <v>4</v>
      </c>
      <c r="Q13" s="1">
        <v>4</v>
      </c>
      <c r="R13" s="8">
        <f t="shared" si="17"/>
        <v>4.75</v>
      </c>
      <c r="S13" s="14">
        <f t="shared" si="18"/>
        <v>0.5</v>
      </c>
      <c r="T13" s="8">
        <f t="shared" si="19"/>
        <v>5</v>
      </c>
      <c r="U13" s="8">
        <f t="shared" si="0"/>
        <v>19</v>
      </c>
      <c r="V13" s="1">
        <f t="shared" si="1"/>
        <v>4</v>
      </c>
      <c r="W13" s="1">
        <f t="shared" si="2"/>
        <v>0.70710678118654757</v>
      </c>
      <c r="X13" s="1">
        <f t="shared" si="3"/>
        <v>4</v>
      </c>
      <c r="Y13" s="1">
        <f t="shared" si="4"/>
        <v>20</v>
      </c>
      <c r="Z13" s="1">
        <f t="shared" si="5"/>
        <v>4.666666666666667</v>
      </c>
      <c r="AA13" s="1">
        <f t="shared" si="6"/>
        <v>0.57735026918962784</v>
      </c>
      <c r="AB13" s="1">
        <f t="shared" si="7"/>
        <v>5</v>
      </c>
      <c r="AC13" s="1">
        <f t="shared" si="8"/>
        <v>14</v>
      </c>
      <c r="AD13" s="1">
        <f t="shared" si="9"/>
        <v>4.25</v>
      </c>
      <c r="AE13" s="1">
        <f t="shared" si="10"/>
        <v>0.5</v>
      </c>
      <c r="AF13" s="1">
        <f t="shared" si="11"/>
        <v>4</v>
      </c>
      <c r="AG13" s="1">
        <f t="shared" si="12"/>
        <v>17</v>
      </c>
      <c r="AH13" s="9">
        <f t="shared" si="13"/>
        <v>4</v>
      </c>
      <c r="AI13" s="1">
        <f t="shared" si="14"/>
        <v>0</v>
      </c>
      <c r="AJ13" s="1">
        <f t="shared" si="15"/>
        <v>4</v>
      </c>
      <c r="AK13" s="1">
        <f t="shared" si="16"/>
        <v>70</v>
      </c>
    </row>
    <row r="14" spans="1:37">
      <c r="A14" s="1">
        <v>10</v>
      </c>
      <c r="B14" s="1">
        <v>3</v>
      </c>
      <c r="C14" s="1">
        <v>4</v>
      </c>
      <c r="D14" s="1">
        <v>2</v>
      </c>
      <c r="E14" s="1">
        <v>3</v>
      </c>
      <c r="F14" s="1">
        <v>4</v>
      </c>
      <c r="G14" s="1">
        <v>4</v>
      </c>
      <c r="H14" s="1">
        <v>3</v>
      </c>
      <c r="I14" s="1">
        <v>3</v>
      </c>
      <c r="J14" s="1">
        <v>2</v>
      </c>
      <c r="K14" s="1">
        <v>3</v>
      </c>
      <c r="L14" s="1">
        <v>5</v>
      </c>
      <c r="M14" s="1">
        <v>3</v>
      </c>
      <c r="N14" s="1">
        <v>4</v>
      </c>
      <c r="O14" s="1">
        <v>3</v>
      </c>
      <c r="P14" s="1">
        <v>3</v>
      </c>
      <c r="Q14" s="1">
        <v>4</v>
      </c>
      <c r="R14" s="8">
        <f t="shared" si="17"/>
        <v>3</v>
      </c>
      <c r="S14" s="14">
        <f t="shared" si="18"/>
        <v>0.81649658092772603</v>
      </c>
      <c r="T14" s="8">
        <f t="shared" si="19"/>
        <v>3</v>
      </c>
      <c r="U14" s="8">
        <f t="shared" si="0"/>
        <v>12</v>
      </c>
      <c r="V14" s="1">
        <f t="shared" si="1"/>
        <v>3.2</v>
      </c>
      <c r="W14" s="1">
        <f t="shared" si="2"/>
        <v>0.83666002653407512</v>
      </c>
      <c r="X14" s="1">
        <f t="shared" si="3"/>
        <v>3</v>
      </c>
      <c r="Y14" s="1">
        <f t="shared" si="4"/>
        <v>16</v>
      </c>
      <c r="Z14" s="1">
        <f t="shared" si="5"/>
        <v>3.6666666666666665</v>
      </c>
      <c r="AA14" s="1">
        <f t="shared" si="6"/>
        <v>1.154700538379251</v>
      </c>
      <c r="AB14" s="1">
        <f t="shared" si="7"/>
        <v>3</v>
      </c>
      <c r="AC14" s="1">
        <f t="shared" si="8"/>
        <v>11</v>
      </c>
      <c r="AD14" s="1">
        <f t="shared" si="9"/>
        <v>3.5</v>
      </c>
      <c r="AE14" s="1">
        <f t="shared" si="10"/>
        <v>0.57735026918962573</v>
      </c>
      <c r="AF14" s="1">
        <f t="shared" si="11"/>
        <v>3.5</v>
      </c>
      <c r="AG14" s="1">
        <f t="shared" si="12"/>
        <v>14</v>
      </c>
      <c r="AH14" s="9">
        <f t="shared" si="13"/>
        <v>3.5</v>
      </c>
      <c r="AI14" s="1">
        <f t="shared" si="14"/>
        <v>0.70710678118654757</v>
      </c>
      <c r="AJ14" s="1">
        <f t="shared" si="15"/>
        <v>3.5</v>
      </c>
      <c r="AK14" s="1">
        <f t="shared" si="16"/>
        <v>53</v>
      </c>
    </row>
    <row r="15" spans="1:37">
      <c r="A15" s="1">
        <v>11</v>
      </c>
      <c r="B15" s="1">
        <v>5</v>
      </c>
      <c r="C15" s="1">
        <v>4</v>
      </c>
      <c r="D15" s="1">
        <v>4</v>
      </c>
      <c r="E15" s="1">
        <v>3</v>
      </c>
      <c r="F15" s="1">
        <v>5</v>
      </c>
      <c r="G15" s="1">
        <v>5</v>
      </c>
      <c r="H15" s="1">
        <v>4</v>
      </c>
      <c r="I15" s="1">
        <v>5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4</v>
      </c>
      <c r="R15" s="8">
        <f t="shared" si="17"/>
        <v>4.75</v>
      </c>
      <c r="S15" s="14">
        <f t="shared" si="18"/>
        <v>0.5</v>
      </c>
      <c r="T15" s="8">
        <f t="shared" si="19"/>
        <v>5</v>
      </c>
      <c r="U15" s="8">
        <f t="shared" si="0"/>
        <v>19</v>
      </c>
      <c r="V15" s="1">
        <f t="shared" si="1"/>
        <v>4.2</v>
      </c>
      <c r="W15" s="1">
        <f t="shared" si="2"/>
        <v>0.83666002653407512</v>
      </c>
      <c r="X15" s="1">
        <f t="shared" si="3"/>
        <v>4</v>
      </c>
      <c r="Y15" s="1">
        <f t="shared" si="4"/>
        <v>21</v>
      </c>
      <c r="Z15" s="1">
        <f t="shared" si="5"/>
        <v>5</v>
      </c>
      <c r="AA15" s="1">
        <f t="shared" si="6"/>
        <v>0</v>
      </c>
      <c r="AB15" s="1">
        <f t="shared" si="7"/>
        <v>5</v>
      </c>
      <c r="AC15" s="1">
        <f t="shared" si="8"/>
        <v>15</v>
      </c>
      <c r="AD15" s="1">
        <f t="shared" si="9"/>
        <v>4.75</v>
      </c>
      <c r="AE15" s="1">
        <f t="shared" si="10"/>
        <v>0.5</v>
      </c>
      <c r="AF15" s="1">
        <f t="shared" si="11"/>
        <v>5</v>
      </c>
      <c r="AG15" s="1">
        <f t="shared" si="12"/>
        <v>19</v>
      </c>
      <c r="AH15" s="9">
        <f t="shared" si="13"/>
        <v>4.5</v>
      </c>
      <c r="AI15" s="1">
        <f t="shared" si="14"/>
        <v>0.70710678118654757</v>
      </c>
      <c r="AJ15" s="1">
        <f t="shared" si="15"/>
        <v>4.5</v>
      </c>
      <c r="AK15" s="1">
        <f t="shared" si="16"/>
        <v>74</v>
      </c>
    </row>
    <row r="16" spans="1:37">
      <c r="A16" s="1">
        <v>12</v>
      </c>
      <c r="B16" s="1">
        <v>5</v>
      </c>
      <c r="C16" s="1">
        <v>5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I16" s="1">
        <v>3</v>
      </c>
      <c r="J16" s="1">
        <v>5</v>
      </c>
      <c r="K16" s="1">
        <v>5</v>
      </c>
      <c r="L16" s="1">
        <v>4</v>
      </c>
      <c r="M16" s="1">
        <v>4</v>
      </c>
      <c r="N16" s="1">
        <v>4</v>
      </c>
      <c r="O16" s="1">
        <v>4</v>
      </c>
      <c r="P16" s="1">
        <v>4</v>
      </c>
      <c r="Q16" s="1">
        <v>3</v>
      </c>
      <c r="R16" s="8">
        <f t="shared" si="17"/>
        <v>5</v>
      </c>
      <c r="S16" s="14">
        <f t="shared" si="18"/>
        <v>0</v>
      </c>
      <c r="T16" s="8">
        <f t="shared" si="19"/>
        <v>5</v>
      </c>
      <c r="U16" s="8">
        <f t="shared" si="0"/>
        <v>20</v>
      </c>
      <c r="V16" s="1">
        <f t="shared" si="1"/>
        <v>4</v>
      </c>
      <c r="W16" s="1">
        <f t="shared" si="2"/>
        <v>0</v>
      </c>
      <c r="X16" s="1">
        <f t="shared" si="3"/>
        <v>4</v>
      </c>
      <c r="Y16" s="1">
        <f t="shared" si="4"/>
        <v>20</v>
      </c>
      <c r="Z16" s="1">
        <f t="shared" si="5"/>
        <v>3.6666666666666665</v>
      </c>
      <c r="AA16" s="1">
        <f t="shared" si="6"/>
        <v>0.57735026918962473</v>
      </c>
      <c r="AB16" s="1">
        <f t="shared" si="7"/>
        <v>4</v>
      </c>
      <c r="AC16" s="1">
        <f t="shared" si="8"/>
        <v>11</v>
      </c>
      <c r="AD16" s="1">
        <f t="shared" si="9"/>
        <v>3.75</v>
      </c>
      <c r="AE16" s="1">
        <f t="shared" si="10"/>
        <v>0.5</v>
      </c>
      <c r="AF16" s="1">
        <f t="shared" si="11"/>
        <v>4</v>
      </c>
      <c r="AG16" s="1">
        <f t="shared" si="12"/>
        <v>15</v>
      </c>
      <c r="AH16" s="9">
        <f t="shared" si="13"/>
        <v>4</v>
      </c>
      <c r="AI16" s="1">
        <f t="shared" si="14"/>
        <v>1.4142135623730951</v>
      </c>
      <c r="AJ16" s="1">
        <f t="shared" si="15"/>
        <v>4</v>
      </c>
      <c r="AK16" s="1">
        <f t="shared" si="16"/>
        <v>66</v>
      </c>
    </row>
    <row r="17" spans="1:37">
      <c r="A17" s="1">
        <v>13</v>
      </c>
      <c r="B17" s="1">
        <v>5</v>
      </c>
      <c r="C17" s="1">
        <v>5</v>
      </c>
      <c r="D17" s="1">
        <v>4</v>
      </c>
      <c r="E17" s="1">
        <v>4</v>
      </c>
      <c r="F17" s="1">
        <v>4</v>
      </c>
      <c r="G17" s="1">
        <v>4</v>
      </c>
      <c r="H17" s="1">
        <v>4</v>
      </c>
      <c r="I17" s="1">
        <v>5</v>
      </c>
      <c r="J17" s="1">
        <v>5</v>
      </c>
      <c r="K17" s="1">
        <v>5</v>
      </c>
      <c r="L17" s="1">
        <v>4</v>
      </c>
      <c r="M17" s="1">
        <v>4</v>
      </c>
      <c r="N17" s="1">
        <v>5</v>
      </c>
      <c r="O17" s="1">
        <v>5</v>
      </c>
      <c r="P17" s="1">
        <v>5</v>
      </c>
      <c r="Q17" s="1">
        <v>4</v>
      </c>
      <c r="R17" s="8">
        <f t="shared" si="17"/>
        <v>5</v>
      </c>
      <c r="S17" s="14">
        <f t="shared" si="18"/>
        <v>0</v>
      </c>
      <c r="T17" s="8">
        <f t="shared" si="19"/>
        <v>5</v>
      </c>
      <c r="U17" s="8">
        <f t="shared" si="0"/>
        <v>20</v>
      </c>
      <c r="V17" s="1">
        <f t="shared" si="1"/>
        <v>4</v>
      </c>
      <c r="W17" s="1">
        <f t="shared" si="2"/>
        <v>0</v>
      </c>
      <c r="X17" s="1">
        <f t="shared" si="3"/>
        <v>4</v>
      </c>
      <c r="Y17" s="1">
        <f t="shared" si="4"/>
        <v>20</v>
      </c>
      <c r="Z17" s="1">
        <f t="shared" si="5"/>
        <v>4.333333333333333</v>
      </c>
      <c r="AA17" s="1">
        <f t="shared" si="6"/>
        <v>0.57735026918962473</v>
      </c>
      <c r="AB17" s="1">
        <f t="shared" si="7"/>
        <v>4</v>
      </c>
      <c r="AC17" s="1">
        <f t="shared" si="8"/>
        <v>13</v>
      </c>
      <c r="AD17" s="1">
        <f t="shared" si="9"/>
        <v>4.75</v>
      </c>
      <c r="AE17" s="1">
        <f t="shared" si="10"/>
        <v>0.5</v>
      </c>
      <c r="AF17" s="1">
        <f t="shared" si="11"/>
        <v>5</v>
      </c>
      <c r="AG17" s="1">
        <f t="shared" si="12"/>
        <v>19</v>
      </c>
      <c r="AH17" s="9">
        <f t="shared" si="13"/>
        <v>4.5</v>
      </c>
      <c r="AI17" s="1">
        <f t="shared" si="14"/>
        <v>0.70710678118654757</v>
      </c>
      <c r="AJ17" s="1">
        <f t="shared" si="15"/>
        <v>4.5</v>
      </c>
      <c r="AK17" s="1">
        <f t="shared" si="16"/>
        <v>72</v>
      </c>
    </row>
    <row r="18" spans="1:37">
      <c r="A18" s="1">
        <v>14</v>
      </c>
      <c r="B18" s="1">
        <v>5</v>
      </c>
      <c r="C18" s="1">
        <v>5</v>
      </c>
      <c r="D18" s="1">
        <v>4</v>
      </c>
      <c r="E18" s="1">
        <v>4</v>
      </c>
      <c r="F18" s="1">
        <v>5</v>
      </c>
      <c r="G18" s="1">
        <v>5</v>
      </c>
      <c r="H18" s="1">
        <v>4</v>
      </c>
      <c r="I18" s="1">
        <v>4</v>
      </c>
      <c r="J18" s="1">
        <v>5</v>
      </c>
      <c r="K18" s="1">
        <v>5</v>
      </c>
      <c r="L18" s="1">
        <v>5</v>
      </c>
      <c r="M18" s="1">
        <v>4</v>
      </c>
      <c r="N18" s="1">
        <v>4</v>
      </c>
      <c r="O18" s="1">
        <v>5</v>
      </c>
      <c r="P18" s="1">
        <v>4</v>
      </c>
      <c r="Q18" s="1">
        <v>4</v>
      </c>
      <c r="R18" s="8">
        <f t="shared" si="17"/>
        <v>5</v>
      </c>
      <c r="S18" s="14">
        <f t="shared" si="18"/>
        <v>0</v>
      </c>
      <c r="T18" s="8">
        <f t="shared" si="19"/>
        <v>5</v>
      </c>
      <c r="U18" s="8">
        <f t="shared" si="0"/>
        <v>20</v>
      </c>
      <c r="V18" s="1">
        <f t="shared" si="1"/>
        <v>4.4000000000000004</v>
      </c>
      <c r="W18" s="1">
        <f t="shared" si="2"/>
        <v>0.54772255750516674</v>
      </c>
      <c r="X18" s="1">
        <f t="shared" si="3"/>
        <v>4</v>
      </c>
      <c r="Y18" s="1">
        <f t="shared" si="4"/>
        <v>22</v>
      </c>
      <c r="Z18" s="1">
        <f t="shared" si="5"/>
        <v>4.333333333333333</v>
      </c>
      <c r="AA18" s="1">
        <f t="shared" si="6"/>
        <v>0.57735026918962473</v>
      </c>
      <c r="AB18" s="1">
        <f t="shared" si="7"/>
        <v>4</v>
      </c>
      <c r="AC18" s="1">
        <f t="shared" si="8"/>
        <v>13</v>
      </c>
      <c r="AD18" s="1">
        <f t="shared" si="9"/>
        <v>4.25</v>
      </c>
      <c r="AE18" s="1">
        <f t="shared" si="10"/>
        <v>0.5</v>
      </c>
      <c r="AF18" s="1">
        <f t="shared" si="11"/>
        <v>4</v>
      </c>
      <c r="AG18" s="1">
        <f t="shared" si="12"/>
        <v>17</v>
      </c>
      <c r="AH18" s="9">
        <f t="shared" si="13"/>
        <v>4.5</v>
      </c>
      <c r="AI18" s="1">
        <f t="shared" si="14"/>
        <v>0.70710678118654757</v>
      </c>
      <c r="AJ18" s="1">
        <f t="shared" si="15"/>
        <v>4.5</v>
      </c>
      <c r="AK18" s="1">
        <f t="shared" si="16"/>
        <v>72</v>
      </c>
    </row>
    <row r="19" spans="1:37">
      <c r="A19" s="1">
        <v>15</v>
      </c>
      <c r="B19" s="1">
        <v>5</v>
      </c>
      <c r="C19" s="1">
        <v>5</v>
      </c>
      <c r="D19" s="1">
        <v>4</v>
      </c>
      <c r="E19" s="1">
        <v>4</v>
      </c>
      <c r="F19" s="1">
        <v>5</v>
      </c>
      <c r="G19" s="1">
        <v>5</v>
      </c>
      <c r="H19" s="1">
        <v>5</v>
      </c>
      <c r="I19" s="1">
        <v>5</v>
      </c>
      <c r="J19" s="1">
        <v>5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>
        <v>4</v>
      </c>
      <c r="Q19" s="1">
        <v>5</v>
      </c>
      <c r="R19" s="8">
        <f t="shared" si="17"/>
        <v>5</v>
      </c>
      <c r="S19" s="14">
        <f t="shared" si="18"/>
        <v>0</v>
      </c>
      <c r="T19" s="8">
        <f t="shared" si="19"/>
        <v>5</v>
      </c>
      <c r="U19" s="8">
        <f t="shared" si="0"/>
        <v>20</v>
      </c>
      <c r="V19" s="1">
        <f t="shared" si="1"/>
        <v>4.5999999999999996</v>
      </c>
      <c r="W19" s="1">
        <f t="shared" si="2"/>
        <v>0.54772255750516674</v>
      </c>
      <c r="X19" s="1">
        <f t="shared" si="3"/>
        <v>5</v>
      </c>
      <c r="Y19" s="1">
        <f t="shared" si="4"/>
        <v>23</v>
      </c>
      <c r="Z19" s="1">
        <f t="shared" si="5"/>
        <v>5</v>
      </c>
      <c r="AA19" s="1">
        <f t="shared" si="6"/>
        <v>0</v>
      </c>
      <c r="AB19" s="1">
        <f t="shared" si="7"/>
        <v>5</v>
      </c>
      <c r="AC19" s="1">
        <f t="shared" si="8"/>
        <v>15</v>
      </c>
      <c r="AD19" s="1">
        <f t="shared" si="9"/>
        <v>4.75</v>
      </c>
      <c r="AE19" s="1">
        <f t="shared" si="10"/>
        <v>0.5</v>
      </c>
      <c r="AF19" s="1">
        <f t="shared" si="11"/>
        <v>5</v>
      </c>
      <c r="AG19" s="1">
        <f t="shared" si="12"/>
        <v>19</v>
      </c>
      <c r="AH19" s="9">
        <f t="shared" si="13"/>
        <v>5</v>
      </c>
      <c r="AI19" s="1">
        <f t="shared" si="14"/>
        <v>0</v>
      </c>
      <c r="AJ19" s="1">
        <f t="shared" si="15"/>
        <v>5</v>
      </c>
      <c r="AK19" s="1">
        <f t="shared" si="16"/>
        <v>77</v>
      </c>
    </row>
    <row r="20" spans="1:37">
      <c r="A20" s="1">
        <v>16</v>
      </c>
      <c r="B20" s="1">
        <v>5</v>
      </c>
      <c r="C20" s="1">
        <v>5</v>
      </c>
      <c r="D20" s="1">
        <v>4</v>
      </c>
      <c r="E20" s="1">
        <v>4</v>
      </c>
      <c r="F20" s="1">
        <v>4</v>
      </c>
      <c r="G20" s="1">
        <v>5</v>
      </c>
      <c r="H20" s="1">
        <v>5</v>
      </c>
      <c r="I20" s="1">
        <v>4</v>
      </c>
      <c r="J20" s="1">
        <v>5</v>
      </c>
      <c r="K20" s="1">
        <v>5</v>
      </c>
      <c r="L20" s="1">
        <v>5</v>
      </c>
      <c r="M20" s="1">
        <v>5</v>
      </c>
      <c r="N20" s="1">
        <v>5</v>
      </c>
      <c r="O20" s="1">
        <v>5</v>
      </c>
      <c r="P20" s="1">
        <v>4</v>
      </c>
      <c r="Q20" s="1">
        <v>4</v>
      </c>
      <c r="R20" s="8">
        <f t="shared" si="17"/>
        <v>5</v>
      </c>
      <c r="S20" s="14">
        <f t="shared" si="18"/>
        <v>0</v>
      </c>
      <c r="T20" s="8">
        <f t="shared" si="19"/>
        <v>5</v>
      </c>
      <c r="U20" s="8">
        <f t="shared" si="0"/>
        <v>20</v>
      </c>
      <c r="V20" s="1">
        <f t="shared" si="1"/>
        <v>4.4000000000000004</v>
      </c>
      <c r="W20" s="1">
        <f t="shared" si="2"/>
        <v>0.54772255750516674</v>
      </c>
      <c r="X20" s="1">
        <f t="shared" si="3"/>
        <v>4</v>
      </c>
      <c r="Y20" s="1">
        <f t="shared" si="4"/>
        <v>22</v>
      </c>
      <c r="Z20" s="1">
        <f t="shared" si="5"/>
        <v>4.666666666666667</v>
      </c>
      <c r="AA20" s="1">
        <f t="shared" si="6"/>
        <v>0.57735026918962784</v>
      </c>
      <c r="AB20" s="1">
        <f t="shared" si="7"/>
        <v>5</v>
      </c>
      <c r="AC20" s="1">
        <f t="shared" si="8"/>
        <v>14</v>
      </c>
      <c r="AD20" s="1">
        <f t="shared" si="9"/>
        <v>4.5</v>
      </c>
      <c r="AE20" s="1">
        <f t="shared" si="10"/>
        <v>0.57735026918962573</v>
      </c>
      <c r="AF20" s="1">
        <f t="shared" si="11"/>
        <v>4.5</v>
      </c>
      <c r="AG20" s="1">
        <f t="shared" si="12"/>
        <v>18</v>
      </c>
      <c r="AH20" s="9">
        <f t="shared" si="13"/>
        <v>4.5</v>
      </c>
      <c r="AI20" s="1">
        <f t="shared" si="14"/>
        <v>0.70710678118654757</v>
      </c>
      <c r="AJ20" s="1">
        <f t="shared" si="15"/>
        <v>4.5</v>
      </c>
      <c r="AK20" s="1">
        <f t="shared" si="16"/>
        <v>74</v>
      </c>
    </row>
    <row r="21" spans="1:37">
      <c r="A21" s="1">
        <v>17</v>
      </c>
      <c r="B21" s="1">
        <v>4</v>
      </c>
      <c r="C21" s="1">
        <v>5</v>
      </c>
      <c r="D21" s="1">
        <v>4</v>
      </c>
      <c r="E21" s="1">
        <v>4</v>
      </c>
      <c r="F21" s="1">
        <v>5</v>
      </c>
      <c r="G21" s="1">
        <v>5</v>
      </c>
      <c r="H21" s="1">
        <v>4</v>
      </c>
      <c r="I21" s="1">
        <v>3</v>
      </c>
      <c r="J21" s="1">
        <v>5</v>
      </c>
      <c r="K21" s="1">
        <v>5</v>
      </c>
      <c r="L21" s="1">
        <v>4</v>
      </c>
      <c r="M21" s="1">
        <v>5</v>
      </c>
      <c r="N21" s="1">
        <v>5</v>
      </c>
      <c r="O21" s="1">
        <v>3</v>
      </c>
      <c r="P21" s="1">
        <v>4</v>
      </c>
      <c r="Q21" s="1">
        <v>3</v>
      </c>
      <c r="R21" s="8">
        <f t="shared" si="17"/>
        <v>4.75</v>
      </c>
      <c r="S21" s="14">
        <f t="shared" si="18"/>
        <v>0.5</v>
      </c>
      <c r="T21" s="8">
        <f t="shared" si="19"/>
        <v>5</v>
      </c>
      <c r="U21" s="8">
        <f t="shared" si="0"/>
        <v>19</v>
      </c>
      <c r="V21" s="1">
        <f t="shared" si="1"/>
        <v>4.4000000000000004</v>
      </c>
      <c r="W21" s="1">
        <f t="shared" si="2"/>
        <v>0.54772255750516674</v>
      </c>
      <c r="X21" s="1">
        <f t="shared" si="3"/>
        <v>4</v>
      </c>
      <c r="Y21" s="1">
        <f t="shared" si="4"/>
        <v>22</v>
      </c>
      <c r="Z21" s="1">
        <f t="shared" si="5"/>
        <v>4</v>
      </c>
      <c r="AA21" s="1">
        <f t="shared" si="6"/>
        <v>1</v>
      </c>
      <c r="AB21" s="1">
        <f t="shared" si="7"/>
        <v>4</v>
      </c>
      <c r="AC21" s="1">
        <f t="shared" si="8"/>
        <v>12</v>
      </c>
      <c r="AD21" s="1">
        <f t="shared" si="9"/>
        <v>3.75</v>
      </c>
      <c r="AE21" s="1">
        <f t="shared" si="10"/>
        <v>0.9574271077563381</v>
      </c>
      <c r="AF21" s="1">
        <f t="shared" si="11"/>
        <v>3.5</v>
      </c>
      <c r="AG21" s="1">
        <f t="shared" si="12"/>
        <v>15</v>
      </c>
      <c r="AH21" s="9">
        <f t="shared" si="13"/>
        <v>3.5</v>
      </c>
      <c r="AI21" s="1">
        <f t="shared" si="14"/>
        <v>0.70710678118654757</v>
      </c>
      <c r="AJ21" s="1">
        <f t="shared" si="15"/>
        <v>3.5</v>
      </c>
      <c r="AK21" s="1">
        <f t="shared" si="16"/>
        <v>68</v>
      </c>
    </row>
    <row r="22" spans="1:37">
      <c r="A22" s="1">
        <v>18</v>
      </c>
      <c r="B22" s="1">
        <v>5</v>
      </c>
      <c r="C22" s="1">
        <v>5</v>
      </c>
      <c r="D22" s="1">
        <v>5</v>
      </c>
      <c r="E22" s="1">
        <v>4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4</v>
      </c>
      <c r="Q22" s="1">
        <v>5</v>
      </c>
      <c r="R22" s="8">
        <f t="shared" si="17"/>
        <v>5</v>
      </c>
      <c r="S22" s="14">
        <f t="shared" si="18"/>
        <v>0</v>
      </c>
      <c r="T22" s="8">
        <f t="shared" si="19"/>
        <v>5</v>
      </c>
      <c r="U22" s="8">
        <f t="shared" si="0"/>
        <v>20</v>
      </c>
      <c r="V22" s="1">
        <f t="shared" si="1"/>
        <v>4.8</v>
      </c>
      <c r="W22" s="1">
        <f t="shared" si="2"/>
        <v>0.44721359549995787</v>
      </c>
      <c r="X22" s="1">
        <f t="shared" si="3"/>
        <v>5</v>
      </c>
      <c r="Y22" s="1">
        <f t="shared" si="4"/>
        <v>24</v>
      </c>
      <c r="Z22" s="1">
        <f t="shared" si="5"/>
        <v>5</v>
      </c>
      <c r="AA22" s="1">
        <f t="shared" si="6"/>
        <v>0</v>
      </c>
      <c r="AB22" s="1">
        <f t="shared" si="7"/>
        <v>5</v>
      </c>
      <c r="AC22" s="1">
        <f t="shared" si="8"/>
        <v>15</v>
      </c>
      <c r="AD22" s="1">
        <f t="shared" si="9"/>
        <v>4.75</v>
      </c>
      <c r="AE22" s="1">
        <f t="shared" si="10"/>
        <v>0.5</v>
      </c>
      <c r="AF22" s="1">
        <f t="shared" si="11"/>
        <v>5</v>
      </c>
      <c r="AG22" s="1">
        <f t="shared" si="12"/>
        <v>19</v>
      </c>
      <c r="AH22" s="9">
        <f t="shared" si="13"/>
        <v>5</v>
      </c>
      <c r="AI22" s="1">
        <f t="shared" si="14"/>
        <v>0</v>
      </c>
      <c r="AJ22" s="1">
        <f t="shared" si="15"/>
        <v>5</v>
      </c>
      <c r="AK22" s="1">
        <f t="shared" si="16"/>
        <v>78</v>
      </c>
    </row>
    <row r="23" spans="1:37">
      <c r="A23" s="1">
        <v>19</v>
      </c>
      <c r="B23" s="1">
        <v>2</v>
      </c>
      <c r="C23" s="1">
        <v>3</v>
      </c>
      <c r="D23" s="1">
        <v>1</v>
      </c>
      <c r="E23" s="1">
        <v>1</v>
      </c>
      <c r="F23" s="1">
        <v>1</v>
      </c>
      <c r="G23" s="1">
        <v>1</v>
      </c>
      <c r="H23" s="1">
        <v>2</v>
      </c>
      <c r="I23" s="1">
        <v>1</v>
      </c>
      <c r="J23" s="1">
        <v>3</v>
      </c>
      <c r="K23" s="1">
        <v>3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8">
        <f t="shared" si="17"/>
        <v>2.75</v>
      </c>
      <c r="S23" s="14">
        <f t="shared" si="18"/>
        <v>0.5</v>
      </c>
      <c r="T23" s="8">
        <f t="shared" si="19"/>
        <v>3</v>
      </c>
      <c r="U23" s="8">
        <f t="shared" si="0"/>
        <v>11</v>
      </c>
      <c r="V23" s="1">
        <f t="shared" si="1"/>
        <v>1.2</v>
      </c>
      <c r="W23" s="1">
        <f t="shared" si="2"/>
        <v>0.44721359549995787</v>
      </c>
      <c r="X23" s="1">
        <f t="shared" si="3"/>
        <v>1</v>
      </c>
      <c r="Y23" s="1">
        <f t="shared" si="4"/>
        <v>6</v>
      </c>
      <c r="Z23" s="1">
        <f t="shared" si="5"/>
        <v>1</v>
      </c>
      <c r="AA23" s="1">
        <f t="shared" si="6"/>
        <v>0</v>
      </c>
      <c r="AB23" s="1">
        <f t="shared" si="7"/>
        <v>1</v>
      </c>
      <c r="AC23" s="1">
        <f t="shared" si="8"/>
        <v>3</v>
      </c>
      <c r="AD23" s="1">
        <f t="shared" si="9"/>
        <v>1</v>
      </c>
      <c r="AE23" s="1">
        <f t="shared" si="10"/>
        <v>0</v>
      </c>
      <c r="AF23" s="1">
        <f t="shared" si="11"/>
        <v>1</v>
      </c>
      <c r="AG23" s="1">
        <f t="shared" si="12"/>
        <v>4</v>
      </c>
      <c r="AH23" s="9">
        <f t="shared" si="13"/>
        <v>1.5</v>
      </c>
      <c r="AI23" s="1">
        <f t="shared" si="14"/>
        <v>0.70710678118654757</v>
      </c>
      <c r="AJ23" s="1">
        <f t="shared" si="15"/>
        <v>1.5</v>
      </c>
      <c r="AK23" s="1">
        <f t="shared" si="16"/>
        <v>24</v>
      </c>
    </row>
    <row r="24" spans="1:37" ht="15.75">
      <c r="A24" s="1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6">
        <f>AVERAGE(R5:R23)</f>
        <v>4.6578947368421053</v>
      </c>
      <c r="S24" s="16">
        <f>AVERAGE(S5:S23)</f>
        <v>0.17862351842722904</v>
      </c>
      <c r="T24" s="16">
        <f>AVERAGE(T5:T23)</f>
        <v>4.7105263157894735</v>
      </c>
      <c r="U24" s="16">
        <f>IF(_xlfn.VAR.S(U5:U23)=0,"",(4/3)*(1-((_xlfn.VAR.S(B5:B23)+_xlfn.VAR.S(C5:C23)+_xlfn.VAR.S(J5:J23)+_xlfn.VAR.S(K5:K23))/_xlfn.VAR.S(U5:U23))))</f>
        <v>0.94223635400106043</v>
      </c>
      <c r="V24" s="16">
        <f>AVERAGE(V5:V23)</f>
        <v>4.0842105263157897</v>
      </c>
      <c r="W24" s="16">
        <f>AVERAGE(W5:W23)</f>
        <v>0.44701550062263279</v>
      </c>
      <c r="X24" s="16">
        <f>AVERAGE(X5:X23)</f>
        <v>4.0526315789473681</v>
      </c>
      <c r="Y24" s="16">
        <f>IF(_xlfn.VAR.S(Y5:Y23)=0,"",(5/4)*(1-((_xlfn.VAR.S(D5:D23)+_xlfn.VAR.S(E5:E23)+_xlfn.VAR.S(F5:F23)+_xlfn.VAR.S(G5:G23)+_xlfn.VAR.S(H5:H23))/_xlfn.VAR.S(Y5:Y23))))</f>
        <v>0.95960216110019647</v>
      </c>
      <c r="Z24" s="16">
        <f>AVERAGE(Z5:Z23)</f>
        <v>4.2807017543859649</v>
      </c>
      <c r="AA24" s="16">
        <f>AVERAGE(AA5:AA23)</f>
        <v>0.32611328540561235</v>
      </c>
      <c r="AB24" s="16">
        <f>AVERAGE(AB5:AB23)</f>
        <v>4.2631578947368425</v>
      </c>
      <c r="AC24" s="16">
        <f>IF(_xlfn.VAR.S(AC5:AC23)=0,"",(3/2)*(1-((_xlfn.VAR.S(I5:I23)+_xlfn.VAR.S(L5:L23)+_xlfn.VAR.S(M5:M23))/_xlfn.VAR.S(AC5:AC23))))</f>
        <v>0.93323615160349882</v>
      </c>
      <c r="AD24" s="16">
        <f>AVERAGE(AD5:AD23)</f>
        <v>4.1710526315789478</v>
      </c>
      <c r="AE24" s="16">
        <f>AVERAGE(AE5:AE23)</f>
        <v>0.4573409429118534</v>
      </c>
      <c r="AF24" s="16">
        <f>AVERAGE(AF5:AF23)</f>
        <v>4.2631578947368425</v>
      </c>
      <c r="AG24" s="16">
        <f>IF(_xlfn.VAR.S(AG5:AG23)=0,"",(4/3)*(1-((_xlfn.VAR.S(N5:N23)+_xlfn.VAR.S(O5:O23)+_xlfn.VAR.S(P5:P23)+_xlfn.VAR.S(Q5:Q23))/_xlfn.VAR.S(AG5:AG23))))</f>
        <v>0.94790687963252962</v>
      </c>
      <c r="AH24" s="16">
        <f>AVERAGE(AH5:AH23)</f>
        <v>4.2894736842105265</v>
      </c>
      <c r="AI24" s="16">
        <f>AVERAGE(AI5:AI23)</f>
        <v>0.48380990291711151</v>
      </c>
      <c r="AJ24" s="16">
        <f>AVERAGE(AJ5:AJ23)</f>
        <v>4.2894736842105265</v>
      </c>
      <c r="AK24" s="16">
        <f>IF(_xlfn.VAR.S(AK5:AK23)=0,"",(16/15)*(1-((_xlfn.VAR.S(B5:B23)+_xlfn.VAR.S(C5:C23)+_xlfn.VAR.S(D5:D23)+_xlfn.VAR.S(E5:E23)+_xlfn.VAR.S(F5:F23)+_xlfn.VAR.S(G5:G23)+_xlfn.VAR.S(H5:H23)+_xlfn.VAR.S(I5:I23)+_xlfn.VAR.S(J5:J23)+_xlfn.VAR.S(K5:K23)+_xlfn.VAR.S(L5:L23)+_xlfn.VAR.S(M5:M23)+_xlfn.VAR.S(N5:N23)+_xlfn.VAR.S(O5:O23)+_xlfn.VAR.S(P5:P23)+_xlfn.VAR.S(Q5:Q23))/_xlfn.VAR.S(AK5:AK23))))</f>
        <v>0.98095556298028752</v>
      </c>
    </row>
    <row r="25" spans="1:37" ht="15.7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8"/>
      <c r="S25" s="8"/>
      <c r="T25" s="8"/>
      <c r="U25" s="8" t="str">
        <f>IF(U24&gt;=0.9,"Excellent",
 IF(U24&gt;=0.8,"Good",
 IF(U24&gt;=0.7,"Acceptable",
 IF(U24&gt;=0.6,"Questionable",
 IF(U24&gt;=0.5,"Poor",
 "Unacceptable")))))</f>
        <v>Excellent</v>
      </c>
      <c r="V25" s="8"/>
      <c r="W25" s="8"/>
      <c r="X25" s="8"/>
      <c r="Y25" s="8" t="str">
        <f>IF(Y24&gt;=0.9,"Excellent",
 IF(Y24&gt;=0.8,"Good",
 IF(Y24&gt;=0.7,"Acceptable",
 IF(Y24&gt;=0.6,"Questionable",
 IF(Y24&gt;=0.5,"Poor",
 "Unacceptable")))))</f>
        <v>Excellent</v>
      </c>
      <c r="Z25" s="8"/>
      <c r="AA25" s="8"/>
      <c r="AB25" s="8"/>
      <c r="AC25" s="8" t="str">
        <f>IF(AC24&gt;=0.9,"Excellent",
 IF(AC24&gt;=0.8,"Good",
 IF(AC24&gt;=0.7,"Acceptable",
 IF(AC24&gt;=0.6,"Questionable",
 IF(AC24&gt;=0.5,"Poor",
 "Unacceptable")))))</f>
        <v>Excellent</v>
      </c>
      <c r="AD25" s="8"/>
      <c r="AE25" s="8"/>
      <c r="AF25" s="8"/>
      <c r="AG25" s="8" t="str">
        <f>IF(AG24&gt;=0.9,"Excellent",
 IF(AG24&gt;=0.8,"Good",
 IF(AG24&gt;=0.7,"Acceptable",
 IF(AG24&gt;=0.6,"Questionable",
 IF(AG24&gt;=0.5,"Poor",
 "Unacceptable")))))</f>
        <v>Excellent</v>
      </c>
      <c r="AH25" s="8"/>
      <c r="AI25" s="8"/>
      <c r="AJ25" s="8"/>
      <c r="AK25" s="8" t="str">
        <f>IF(AK24&gt;=0.9,"Excellent",
 IF(AK24&gt;=0.8,"Good",
 IF(AK24&gt;=0.7,"Acceptable",
 IF(AK24&gt;=0.6,"Questionable",
 IF(AK24&gt;=0.5,"Poor",
 "Unacceptable")))))</f>
        <v>Excellent</v>
      </c>
    </row>
    <row r="26" spans="1:37" ht="15.75">
      <c r="K26" s="5" t="s">
        <v>132</v>
      </c>
    </row>
    <row r="27" spans="1:37">
      <c r="R27" s="20"/>
      <c r="S27" s="20"/>
      <c r="T27" s="20"/>
      <c r="U27" s="2"/>
      <c r="V27" s="20"/>
      <c r="W27" s="20"/>
      <c r="X27" s="20"/>
      <c r="Y27" s="2"/>
      <c r="Z27" s="20"/>
      <c r="AA27" s="20"/>
      <c r="AB27" s="20"/>
      <c r="AC27" s="2"/>
      <c r="AD27" s="20"/>
      <c r="AE27" s="20"/>
      <c r="AF27" s="20"/>
      <c r="AG27" s="2"/>
      <c r="AH27" s="20"/>
      <c r="AI27" s="20"/>
      <c r="AJ27" s="20"/>
    </row>
    <row r="28" spans="1:37">
      <c r="R28" s="20"/>
      <c r="S28" s="20"/>
      <c r="T28" s="20"/>
      <c r="U28" s="2"/>
      <c r="V28" s="22"/>
      <c r="W28" s="22"/>
      <c r="X28" s="22"/>
      <c r="Y28" s="4"/>
      <c r="Z28" s="20"/>
      <c r="AA28" s="20"/>
      <c r="AB28" s="20"/>
      <c r="AC28" s="2"/>
      <c r="AD28" s="20"/>
      <c r="AE28" s="20"/>
      <c r="AF28" s="20"/>
      <c r="AG28" s="2"/>
      <c r="AH28" s="20"/>
      <c r="AI28" s="20"/>
      <c r="AJ28" s="20"/>
    </row>
    <row r="29" spans="1:37"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7">
      <c r="A30" s="1" t="s">
        <v>129</v>
      </c>
      <c r="B30" s="9">
        <f t="shared" ref="B30:Q30" si="20">AVERAGE(B5:B23)</f>
        <v>4.5789473684210522</v>
      </c>
      <c r="C30" s="9">
        <f t="shared" si="20"/>
        <v>4.7368421052631575</v>
      </c>
      <c r="D30" s="9">
        <f t="shared" si="20"/>
        <v>3.736842105263158</v>
      </c>
      <c r="E30" s="9">
        <f t="shared" si="20"/>
        <v>3.736842105263158</v>
      </c>
      <c r="F30" s="9">
        <f t="shared" si="20"/>
        <v>4.3157894736842106</v>
      </c>
      <c r="G30" s="9">
        <f t="shared" si="20"/>
        <v>4.3684210526315788</v>
      </c>
      <c r="H30" s="9">
        <f t="shared" si="20"/>
        <v>4.2631578947368425</v>
      </c>
      <c r="I30" s="9">
        <f t="shared" si="20"/>
        <v>4.1052631578947372</v>
      </c>
      <c r="J30" s="9">
        <f t="shared" si="20"/>
        <v>4.6315789473684212</v>
      </c>
      <c r="K30" s="9">
        <f t="shared" si="20"/>
        <v>4.6842105263157894</v>
      </c>
      <c r="L30" s="9">
        <f t="shared" si="20"/>
        <v>4.4736842105263159</v>
      </c>
      <c r="M30" s="9">
        <f t="shared" si="20"/>
        <v>4.2631578947368425</v>
      </c>
      <c r="N30" s="9">
        <f t="shared" si="20"/>
        <v>4.3157894736842106</v>
      </c>
      <c r="O30" s="9">
        <f t="shared" si="20"/>
        <v>4.3157894736842106</v>
      </c>
      <c r="P30" s="9">
        <f t="shared" si="20"/>
        <v>4.0526315789473681</v>
      </c>
      <c r="Q30" s="9">
        <f t="shared" si="20"/>
        <v>4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spans="1:37">
      <c r="A31" s="1" t="s">
        <v>130</v>
      </c>
      <c r="B31" s="1">
        <f t="shared" ref="B31:Q31" si="21">_xlfn.STDEV.S(B5:B23)</f>
        <v>0.83770781658339155</v>
      </c>
      <c r="C31" s="1">
        <f t="shared" si="21"/>
        <v>0.56195148694901587</v>
      </c>
      <c r="D31" s="1">
        <f t="shared" si="21"/>
        <v>1.0457376590053491</v>
      </c>
      <c r="E31" s="1">
        <f t="shared" si="21"/>
        <v>0.9911892555667039</v>
      </c>
      <c r="F31" s="1">
        <f t="shared" si="21"/>
        <v>1.1081832770072813</v>
      </c>
      <c r="G31" s="1">
        <f t="shared" si="21"/>
        <v>1.1160708020048371</v>
      </c>
      <c r="H31" s="1">
        <f t="shared" si="21"/>
        <v>0.9911892555667039</v>
      </c>
      <c r="I31" s="1">
        <f t="shared" si="21"/>
        <v>1.1969747440993463</v>
      </c>
      <c r="J31" s="1">
        <f t="shared" si="21"/>
        <v>0.83069758608784006</v>
      </c>
      <c r="K31" s="1">
        <f t="shared" si="21"/>
        <v>0.67103829820720284</v>
      </c>
      <c r="L31" s="1">
        <f t="shared" si="21"/>
        <v>1.0202625507753487</v>
      </c>
      <c r="M31" s="1">
        <f t="shared" si="21"/>
        <v>1.1470786693528086</v>
      </c>
      <c r="N31" s="1">
        <f t="shared" si="21"/>
        <v>1.1081832770072813</v>
      </c>
      <c r="O31" s="1">
        <f t="shared" si="21"/>
        <v>1.2042808632793345</v>
      </c>
      <c r="P31" s="1">
        <f t="shared" si="21"/>
        <v>1.078769062431103</v>
      </c>
      <c r="Q31" s="1">
        <f t="shared" si="21"/>
        <v>1.247219128924647</v>
      </c>
      <c r="R31" s="1"/>
      <c r="S31" s="1"/>
      <c r="T31" s="1"/>
      <c r="U31" s="1"/>
      <c r="V31" s="1"/>
      <c r="W31" s="1"/>
      <c r="X31" s="1"/>
      <c r="Z31" s="1"/>
      <c r="AA31" s="1"/>
      <c r="AB31" s="1"/>
      <c r="AD31" s="1"/>
      <c r="AE31" s="1"/>
      <c r="AF31" s="1"/>
      <c r="AH31" s="1"/>
      <c r="AI31" s="1"/>
      <c r="AJ31" s="1"/>
    </row>
    <row r="32" spans="1:37">
      <c r="A32" s="1" t="s">
        <v>131</v>
      </c>
      <c r="B32" s="10">
        <f t="shared" ref="B32:Q32" si="22">MEDIAN(B5:B23)</f>
        <v>5</v>
      </c>
      <c r="C32" s="10">
        <f t="shared" si="22"/>
        <v>5</v>
      </c>
      <c r="D32" s="10">
        <f t="shared" si="22"/>
        <v>4</v>
      </c>
      <c r="E32" s="10">
        <f t="shared" si="22"/>
        <v>4</v>
      </c>
      <c r="F32" s="10">
        <f t="shared" si="22"/>
        <v>5</v>
      </c>
      <c r="G32" s="10">
        <f t="shared" si="22"/>
        <v>5</v>
      </c>
      <c r="H32" s="10">
        <f t="shared" si="22"/>
        <v>5</v>
      </c>
      <c r="I32" s="10">
        <f t="shared" si="22"/>
        <v>5</v>
      </c>
      <c r="J32" s="10">
        <f t="shared" si="22"/>
        <v>5</v>
      </c>
      <c r="K32" s="10">
        <f t="shared" si="22"/>
        <v>5</v>
      </c>
      <c r="L32" s="10">
        <f t="shared" si="22"/>
        <v>5</v>
      </c>
      <c r="M32" s="10">
        <f t="shared" si="22"/>
        <v>5</v>
      </c>
      <c r="N32" s="10">
        <f t="shared" si="22"/>
        <v>5</v>
      </c>
      <c r="O32" s="10">
        <f t="shared" si="22"/>
        <v>5</v>
      </c>
      <c r="P32" s="10">
        <f t="shared" si="22"/>
        <v>4</v>
      </c>
      <c r="Q32" s="10">
        <f t="shared" si="22"/>
        <v>4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17">
      <c r="A33" s="1" t="s">
        <v>133</v>
      </c>
      <c r="B33" s="1" t="s">
        <v>134</v>
      </c>
      <c r="C33" s="1" t="s">
        <v>134</v>
      </c>
      <c r="D33" s="1">
        <v>1.2999999999999999E-2</v>
      </c>
      <c r="E33" s="1">
        <v>0.01</v>
      </c>
      <c r="F33" s="1">
        <v>1E-3</v>
      </c>
      <c r="G33" s="1" t="s">
        <v>134</v>
      </c>
      <c r="H33" s="1" t="s">
        <v>134</v>
      </c>
      <c r="I33" s="1">
        <v>4.0000000000000001E-3</v>
      </c>
      <c r="J33" s="1" t="s">
        <v>134</v>
      </c>
      <c r="K33" s="1" t="s">
        <v>134</v>
      </c>
      <c r="L33" s="1" t="s">
        <v>134</v>
      </c>
      <c r="M33" s="1">
        <v>2E-3</v>
      </c>
      <c r="N33" s="1">
        <v>1E-3</v>
      </c>
      <c r="O33" s="1">
        <v>1E-3</v>
      </c>
      <c r="P33" s="1">
        <v>3.0000000000000001E-3</v>
      </c>
      <c r="Q33" s="1">
        <v>1.2E-2</v>
      </c>
    </row>
  </sheetData>
  <mergeCells count="19">
    <mergeCell ref="A1:P1"/>
    <mergeCell ref="V3:Y3"/>
    <mergeCell ref="Z2:AC2"/>
    <mergeCell ref="Z3:AC3"/>
    <mergeCell ref="AD2:AG2"/>
    <mergeCell ref="AD3:AG3"/>
    <mergeCell ref="AH2:AK3"/>
    <mergeCell ref="R27:T27"/>
    <mergeCell ref="V27:X27"/>
    <mergeCell ref="Z27:AB27"/>
    <mergeCell ref="AD27:AF27"/>
    <mergeCell ref="AH27:AJ28"/>
    <mergeCell ref="R28:T28"/>
    <mergeCell ref="V28:X28"/>
    <mergeCell ref="Z28:AB28"/>
    <mergeCell ref="AD28:AF28"/>
    <mergeCell ref="R2:U2"/>
    <mergeCell ref="R3:U3"/>
    <mergeCell ref="V2:Y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SUS</vt:lpstr>
      <vt:lpstr>ISO 9241-11</vt:lpstr>
      <vt:lpstr>TAM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JOSE LOPEZ JIMENEZ</dc:creator>
  <cp:keywords/>
  <dc:description/>
  <cp:lastModifiedBy>JUAN JOSE LOPEZ JIMENEZ</cp:lastModifiedBy>
  <cp:revision/>
  <dcterms:created xsi:type="dcterms:W3CDTF">2025-11-02T10:20:59Z</dcterms:created>
  <dcterms:modified xsi:type="dcterms:W3CDTF">2025-11-12T18:32:29Z</dcterms:modified>
  <cp:category/>
  <cp:contentStatus/>
</cp:coreProperties>
</file>