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jlop\Universidad\doctorado\trabajo 10 Human Devops\revision2\"/>
    </mc:Choice>
  </mc:AlternateContent>
  <xr:revisionPtr revIDLastSave="0" documentId="13_ncr:1_{6549774A-2C36-4D29-B114-1E9B6B0F5BFA}" xr6:coauthVersionLast="47" xr6:coauthVersionMax="47" xr10:uidLastSave="{00000000-0000-0000-0000-000000000000}"/>
  <bookViews>
    <workbookView xWindow="-120" yWindow="-120" windowWidth="29040" windowHeight="15720" xr2:uid="{2ABC4170-BB3B-4E21-81C2-519503BDDA71}"/>
  </bookViews>
  <sheets>
    <sheet name="SUS" sheetId="1" r:id="rId1"/>
    <sheet name="ISO 9241-11" sheetId="2" r:id="rId2"/>
    <sheet name="TAM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2" l="1"/>
  <c r="F39" i="2"/>
  <c r="M40" i="2"/>
  <c r="L40" i="2"/>
  <c r="M46" i="1" l="1"/>
  <c r="M44" i="1"/>
  <c r="M42" i="1"/>
  <c r="M41" i="1"/>
  <c r="M39" i="1"/>
  <c r="M40" i="1"/>
  <c r="M36" i="1"/>
  <c r="I39" i="2"/>
  <c r="I48" i="2" s="1"/>
  <c r="I47" i="2" s="1"/>
  <c r="H39" i="2"/>
  <c r="H48" i="2" s="1"/>
  <c r="H47" i="2" s="1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5" i="2"/>
  <c r="H6" i="2"/>
  <c r="I6" i="2"/>
  <c r="H7" i="2"/>
  <c r="I7" i="2"/>
  <c r="H8" i="2"/>
  <c r="I8" i="2"/>
  <c r="P8" i="2" s="1"/>
  <c r="H9" i="2"/>
  <c r="I9" i="2"/>
  <c r="H10" i="2"/>
  <c r="I10" i="2"/>
  <c r="H11" i="2"/>
  <c r="I11" i="2"/>
  <c r="H12" i="2"/>
  <c r="I12" i="2"/>
  <c r="H13" i="2"/>
  <c r="I13" i="2"/>
  <c r="H14" i="2"/>
  <c r="I14" i="2"/>
  <c r="H15" i="2"/>
  <c r="I15" i="2"/>
  <c r="H16" i="2"/>
  <c r="I16" i="2"/>
  <c r="H17" i="2"/>
  <c r="I17" i="2"/>
  <c r="H18" i="2"/>
  <c r="I18" i="2"/>
  <c r="H19" i="2"/>
  <c r="I19" i="2"/>
  <c r="H20" i="2"/>
  <c r="I20" i="2"/>
  <c r="H21" i="2"/>
  <c r="I21" i="2"/>
  <c r="H22" i="2"/>
  <c r="I22" i="2"/>
  <c r="H23" i="2"/>
  <c r="I23" i="2"/>
  <c r="H24" i="2"/>
  <c r="I24" i="2"/>
  <c r="H25" i="2"/>
  <c r="I25" i="2"/>
  <c r="H26" i="2"/>
  <c r="I26" i="2"/>
  <c r="H27" i="2"/>
  <c r="I27" i="2"/>
  <c r="H28" i="2"/>
  <c r="I28" i="2"/>
  <c r="H29" i="2"/>
  <c r="I29" i="2"/>
  <c r="H30" i="2"/>
  <c r="I30" i="2"/>
  <c r="H31" i="2"/>
  <c r="I31" i="2"/>
  <c r="H32" i="2"/>
  <c r="I32" i="2"/>
  <c r="H33" i="2"/>
  <c r="I33" i="2"/>
  <c r="H34" i="2"/>
  <c r="I34" i="2"/>
  <c r="P34" i="2" s="1"/>
  <c r="H35" i="2"/>
  <c r="I35" i="2"/>
  <c r="I5" i="2"/>
  <c r="H5" i="2"/>
  <c r="P5" i="2" s="1"/>
  <c r="M41" i="2"/>
  <c r="M39" i="2"/>
  <c r="M38" i="2" s="1"/>
  <c r="L41" i="2"/>
  <c r="L39" i="2"/>
  <c r="L38" i="2" s="1"/>
  <c r="G37" i="2"/>
  <c r="G36" i="2"/>
  <c r="F37" i="2"/>
  <c r="F36" i="2"/>
  <c r="P6" i="2"/>
  <c r="P7" i="2"/>
  <c r="P11" i="2"/>
  <c r="P18" i="2"/>
  <c r="P22" i="2"/>
  <c r="P23" i="2"/>
  <c r="P26" i="2"/>
  <c r="E36" i="2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B43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B44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B42" i="4"/>
  <c r="O35" i="2"/>
  <c r="P33" i="2" l="1"/>
  <c r="P27" i="2"/>
  <c r="P21" i="2"/>
  <c r="P19" i="2"/>
  <c r="P17" i="2"/>
  <c r="P15" i="2"/>
  <c r="P13" i="2"/>
  <c r="P9" i="2"/>
  <c r="M45" i="1"/>
  <c r="P16" i="2"/>
  <c r="P12" i="2"/>
  <c r="I46" i="2"/>
  <c r="I36" i="2"/>
  <c r="P29" i="2"/>
  <c r="P25" i="2"/>
  <c r="P14" i="2"/>
  <c r="P10" i="2"/>
  <c r="H44" i="2"/>
  <c r="H46" i="2"/>
  <c r="H36" i="2"/>
  <c r="P32" i="2"/>
  <c r="P28" i="2"/>
  <c r="P24" i="2"/>
  <c r="P20" i="2"/>
  <c r="H37" i="2"/>
  <c r="H45" i="2" s="1"/>
  <c r="I37" i="2"/>
  <c r="I45" i="2" s="1"/>
  <c r="I44" i="2"/>
  <c r="P31" i="2"/>
  <c r="N36" i="2"/>
  <c r="P35" i="2"/>
  <c r="P30" i="2"/>
  <c r="L35" i="1"/>
  <c r="H49" i="2" l="1"/>
  <c r="H50" i="2" s="1"/>
  <c r="H51" i="2" s="1"/>
  <c r="I49" i="2"/>
  <c r="I50" i="2" s="1"/>
  <c r="I51" i="2" s="1"/>
  <c r="M35" i="1"/>
  <c r="Q35" i="2" s="1"/>
  <c r="R35" i="2" s="1"/>
  <c r="N35" i="1" l="1"/>
  <c r="AG32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5" i="4"/>
  <c r="AG6" i="4"/>
  <c r="AG7" i="4"/>
  <c r="AG8" i="4"/>
  <c r="AG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3" i="4"/>
  <c r="AG34" i="4"/>
  <c r="AG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5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AJ6" i="4"/>
  <c r="AJ7" i="4"/>
  <c r="AJ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5" i="4"/>
  <c r="AH6" i="4"/>
  <c r="AH7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5" i="4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5" i="2"/>
  <c r="L6" i="1"/>
  <c r="M6" i="1" s="1"/>
  <c r="L7" i="1"/>
  <c r="M7" i="1" s="1"/>
  <c r="Q7" i="2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5" i="1"/>
  <c r="T36" i="4" l="1"/>
  <c r="AE36" i="4"/>
  <c r="N33" i="1"/>
  <c r="Q33" i="2"/>
  <c r="N9" i="1"/>
  <c r="Q9" i="2"/>
  <c r="N13" i="1"/>
  <c r="Q13" i="2"/>
  <c r="N27" i="1"/>
  <c r="Q27" i="2"/>
  <c r="R27" i="2" s="1"/>
  <c r="N10" i="1"/>
  <c r="Q10" i="2"/>
  <c r="N17" i="1"/>
  <c r="Q17" i="2"/>
  <c r="N23" i="1"/>
  <c r="Q23" i="2"/>
  <c r="R23" i="2" s="1"/>
  <c r="N16" i="1"/>
  <c r="Q16" i="2"/>
  <c r="R16" i="2" s="1"/>
  <c r="Q8" i="2"/>
  <c r="N20" i="1"/>
  <c r="Q20" i="2"/>
  <c r="N19" i="1"/>
  <c r="Q19" i="2"/>
  <c r="R19" i="2" s="1"/>
  <c r="N18" i="1"/>
  <c r="Q18" i="2"/>
  <c r="R18" i="2" s="1"/>
  <c r="N32" i="1"/>
  <c r="Q32" i="2"/>
  <c r="N31" i="1"/>
  <c r="Q31" i="2"/>
  <c r="N15" i="1"/>
  <c r="Q15" i="2"/>
  <c r="R15" i="2" s="1"/>
  <c r="N25" i="1"/>
  <c r="Q25" i="2"/>
  <c r="R25" i="2" s="1"/>
  <c r="N24" i="1"/>
  <c r="Q24" i="2"/>
  <c r="N30" i="1"/>
  <c r="Q30" i="2"/>
  <c r="N22" i="1"/>
  <c r="Q22" i="2"/>
  <c r="R22" i="2" s="1"/>
  <c r="N29" i="1"/>
  <c r="Q29" i="2"/>
  <c r="R29" i="2" s="1"/>
  <c r="N21" i="1"/>
  <c r="Q21" i="2"/>
  <c r="R21" i="2" s="1"/>
  <c r="N14" i="1"/>
  <c r="Q14" i="2"/>
  <c r="R14" i="2" s="1"/>
  <c r="Q6" i="2"/>
  <c r="R6" i="2" s="1"/>
  <c r="N34" i="1"/>
  <c r="Q34" i="2"/>
  <c r="R34" i="2" s="1"/>
  <c r="N28" i="1"/>
  <c r="Q28" i="2"/>
  <c r="N12" i="1"/>
  <c r="Q12" i="2"/>
  <c r="R12" i="2" s="1"/>
  <c r="N26" i="1"/>
  <c r="Q26" i="2"/>
  <c r="R26" i="2" s="1"/>
  <c r="N11" i="1"/>
  <c r="Q11" i="2"/>
  <c r="R11" i="2" s="1"/>
  <c r="S36" i="4"/>
  <c r="R36" i="4"/>
  <c r="AB36" i="4"/>
  <c r="Y36" i="4"/>
  <c r="Y37" i="4" s="1"/>
  <c r="AC36" i="4"/>
  <c r="AC37" i="4" s="1"/>
  <c r="AG36" i="4"/>
  <c r="AG37" i="4" s="1"/>
  <c r="AH36" i="4"/>
  <c r="AA36" i="4"/>
  <c r="U36" i="4"/>
  <c r="U37" i="4" s="1"/>
  <c r="AD36" i="4"/>
  <c r="Z36" i="4"/>
  <c r="X36" i="4"/>
  <c r="AJ36" i="4"/>
  <c r="W36" i="4"/>
  <c r="AI36" i="4"/>
  <c r="V36" i="4"/>
  <c r="AF36" i="4"/>
  <c r="AK36" i="4"/>
  <c r="AK37" i="4" s="1"/>
  <c r="O36" i="2"/>
  <c r="O36" i="1"/>
  <c r="O37" i="1" s="1"/>
  <c r="L36" i="1"/>
  <c r="P36" i="2"/>
  <c r="R33" i="2"/>
  <c r="R30" i="2"/>
  <c r="R10" i="2"/>
  <c r="N6" i="1"/>
  <c r="R7" i="2"/>
  <c r="N8" i="1"/>
  <c r="N7" i="1"/>
  <c r="R8" i="2"/>
  <c r="M5" i="1"/>
  <c r="R31" i="2"/>
  <c r="N36" i="1" l="1"/>
  <c r="Q5" i="2"/>
  <c r="R5" i="2" s="1"/>
  <c r="R13" i="2"/>
  <c r="R17" i="2"/>
  <c r="R32" i="2"/>
  <c r="R20" i="2"/>
  <c r="N5" i="1"/>
  <c r="R24" i="2"/>
  <c r="R28" i="2"/>
  <c r="R9" i="2"/>
  <c r="Q36" i="2" l="1"/>
  <c r="R36" i="2" s="1"/>
</calcChain>
</file>

<file path=xl/sharedStrings.xml><?xml version="1.0" encoding="utf-8"?>
<sst xmlns="http://schemas.openxmlformats.org/spreadsheetml/2006/main" count="193" uniqueCount="136">
  <si>
    <t>SUS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</si>
  <si>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</si>
  <si>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</si>
  <si>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</si>
  <si>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</si>
  <si>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</si>
  <si>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</si>
  <si>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</si>
  <si>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</si>
  <si>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</si>
  <si>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</si>
  <si>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question 17</t>
  </si>
  <si>
    <t>question 18</t>
  </si>
  <si>
    <t>question 19</t>
  </si>
  <si>
    <t>question 20</t>
  </si>
  <si>
    <t>question 21</t>
  </si>
  <si>
    <t>question 22</t>
  </si>
  <si>
    <t>question 23</t>
  </si>
  <si>
    <t>question 24</t>
  </si>
  <si>
    <t>question 25</t>
  </si>
  <si>
    <t>question 26</t>
  </si>
  <si>
    <t>Participant</t>
  </si>
  <si>
    <t>I think I would like to use this system frequently.</t>
  </si>
  <si>
    <t>I found the system unnecessarily complex.</t>
  </si>
  <si>
    <t>I thought the system was easy to use.</t>
  </si>
  <si>
    <t>I think I would need the support of a technician to be able to use this system.</t>
  </si>
  <si>
    <t>I found that the various functions of the system were well integrated.</t>
  </si>
  <si>
    <t>I thought there was too much inconsistency in this system.</t>
  </si>
  <si>
    <t>I imagine that most people would learn how to use this system very quickly.</t>
  </si>
  <si>
    <t>I found the system very complicated to use.</t>
  </si>
  <si>
    <t>I felt very confident using the system.</t>
  </si>
  <si>
    <t>I needed to learn many things before starting with this system.</t>
  </si>
  <si>
    <t>Adjusted Sum</t>
  </si>
  <si>
    <t>Interpretation</t>
  </si>
  <si>
    <t>Cronbach's alpha</t>
  </si>
  <si>
    <t>TOTAL</t>
  </si>
  <si>
    <t>Sample size</t>
  </si>
  <si>
    <t>Mean of log times</t>
  </si>
  <si>
    <t>Standard deviation:</t>
  </si>
  <si>
    <t>Benchmark</t>
  </si>
  <si>
    <t>T</t>
  </si>
  <si>
    <t>One-tailed test</t>
  </si>
  <si>
    <t>Percentage</t>
  </si>
  <si>
    <t>ISO 9241-11</t>
  </si>
  <si>
    <t>question 27</t>
  </si>
  <si>
    <t>question 28</t>
  </si>
  <si>
    <t>question 29</t>
  </si>
  <si>
    <t>question 30</t>
  </si>
  <si>
    <t>question 31</t>
  </si>
  <si>
    <t>question 32</t>
  </si>
  <si>
    <t>question 33</t>
  </si>
  <si>
    <t>question 34</t>
  </si>
  <si>
    <t>question 35</t>
  </si>
  <si>
    <t>question 36</t>
  </si>
  <si>
    <t>Parcicipant</t>
  </si>
  <si>
    <t>Have you finally learnt the features of the system?</t>
  </si>
  <si>
    <t>Have you completed task 1 (finding out which actions have a priority of 100%)?</t>
  </si>
  <si>
    <t>Have you completed task 2 (finding out which human factor has the most negative score within the development team)?</t>
  </si>
  <si>
    <t>How long in seconds did it take you to understand the Human DevOps documentation?</t>
  </si>
  <si>
    <t>How long in seconds did it take you to complete task 1 (find out which actions have a priority of 100%?</t>
  </si>
  <si>
    <t>How long in seconds did it take you to complete task 2 (find out which human factor has the most negative score within the development team)?</t>
  </si>
  <si>
    <t>LN P5</t>
  </si>
  <si>
    <t>LN P6</t>
  </si>
  <si>
    <t>How many times did you need help to complete task 1 (finding out which actions have a priority of 100%)?</t>
  </si>
  <si>
    <t xml:space="preserve">How many times did you need help to complete task 2 (finding out which human factor has the most negative score within the development team)? </t>
  </si>
  <si>
    <t>How many times did you make a mistake when performing task 1 (finding out which actions have a priority of 100%)?</t>
  </si>
  <si>
    <t>How many times did you make a mistake when completing task 2 (finding the human factor with the most negative score within the development team)?</t>
  </si>
  <si>
    <t>Help Requests per Task</t>
  </si>
  <si>
    <t>% Effectiveness</t>
  </si>
  <si>
    <t>Efficiency (s)</t>
  </si>
  <si>
    <t>Satisfaction (SUS)</t>
  </si>
  <si>
    <t>SUS interpretation</t>
  </si>
  <si>
    <t>Ideal time task 1</t>
  </si>
  <si>
    <t>Ideal time task 2</t>
  </si>
  <si>
    <t>Arithmetic mean</t>
  </si>
  <si>
    <t>Geometric mean</t>
  </si>
  <si>
    <t>Expert time</t>
  </si>
  <si>
    <t>Percentage of tasks completed without committing errors</t>
  </si>
  <si>
    <t>Twice the time of an expert</t>
  </si>
  <si>
    <t>Number of tasks completed without committing errors</t>
  </si>
  <si>
    <t>Binomial (p)</t>
  </si>
  <si>
    <t>Standard deviation of log times:</t>
  </si>
  <si>
    <t>Log of benchmark:</t>
  </si>
  <si>
    <t>TAM</t>
  </si>
  <si>
    <t>P11</t>
  </si>
  <si>
    <t>P12</t>
  </si>
  <si>
    <t>P13</t>
  </si>
  <si>
    <t>P14</t>
  </si>
  <si>
    <t>P15</t>
  </si>
  <si>
    <t>P16</t>
  </si>
  <si>
    <t>PEOU   (P1, P2, P9, P10)</t>
  </si>
  <si>
    <t>PU (P3, P4, P5, P6, P7)</t>
  </si>
  <si>
    <t>ATU (P8, P11, P12)</t>
  </si>
  <si>
    <t>IU (P13, P14, P15, P16)</t>
  </si>
  <si>
    <t>question 1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</si>
  <si>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</si>
  <si>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</si>
  <si>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</si>
  <si>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</si>
  <si>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</si>
  <si>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</si>
  <si>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</si>
  <si>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</si>
  <si>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</si>
  <si>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question 11</t>
  </si>
  <si>
    <t>question 12</t>
  </si>
  <si>
    <t>question 13</t>
  </si>
  <si>
    <t>question 14</t>
  </si>
  <si>
    <t>question 15</t>
  </si>
  <si>
    <t>question 16</t>
  </si>
  <si>
    <t>Perceived ease of use</t>
  </si>
  <si>
    <t>Perceived utility</t>
  </si>
  <si>
    <t>Attitude towards use</t>
  </si>
  <si>
    <t>Intended use</t>
  </si>
  <si>
    <t>Do you consider that the tool requires little training to use it effectively?</t>
  </si>
  <si>
    <t>How would you rate the ease of navigation within the tool's interface?</t>
  </si>
  <si>
    <t>To what extent do you believe that using this tool increases your productivity?</t>
  </si>
  <si>
    <t xml:space="preserve">Does using the tool improve the quality of the projects you work on? </t>
  </si>
  <si>
    <t>I would use ‘Human DevOps’ if I needed to assess the psychological and emotional wellbeing of development and operations teams.</t>
  </si>
  <si>
    <t>I would use ‘Human DevOps’ to improve team wellbeing in software engineering environments.</t>
  </si>
  <si>
    <t xml:space="preserve">Would you recommend ‘Human DevOps’ to other colleagues in the industry? </t>
  </si>
  <si>
    <t>If it were available, I would like to use it in the company where I work.</t>
  </si>
  <si>
    <t>Overall, I found the application intuitive.</t>
  </si>
  <si>
    <t>I can easily identify the actions that need to be taken and the negative human factors present in the DevOps team.</t>
  </si>
  <si>
    <t>Using Human DevOps would help me make better decisions about the team's wellbeing.</t>
  </si>
  <si>
    <t>Human DevOps would be a valuable resource for managing the psychological aspects of software development teams.</t>
  </si>
  <si>
    <t>I would use Human DevOps to monitor and improve team dynamics over time.</t>
  </si>
  <si>
    <t>I would use Human DevOps as part of my regular workflow to support team health and performance.</t>
  </si>
  <si>
    <t>I will likely suggest adopting Human DevOps in future team projects.</t>
  </si>
  <si>
    <t>I see myself becoming a regular user of Human DevOps if it proves to be effective.</t>
  </si>
  <si>
    <t>M</t>
  </si>
  <si>
    <t>SD</t>
  </si>
  <si>
    <t>Md</t>
  </si>
  <si>
    <t/>
  </si>
  <si>
    <t>p</t>
  </si>
  <si>
    <t>&lt;0,001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</si>
</sst>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000000"/>
      <name val="Aptos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0" xfId="1"/>
    <xf numFmtId="0" fontId="2" fillId="0" borderId="0" xfId="1" applyAlignment="1">
      <alignment horizontal="center" vertical="center" wrapText="1"/>
    </xf>
    <xf numFmtId="2" fontId="2" fillId="0" borderId="0" xfId="1" applyNumberFormat="1" applyAlignment="1">
      <alignment horizontal="center"/>
    </xf>
    <xf numFmtId="2" fontId="4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64" fontId="0" fillId="0" borderId="0" xfId="0" applyNumberFormat="1" applyAlignment="1">
      <alignment horizontal="center"/>
    </xf>
    <xf numFmtId="2" fontId="2" fillId="0" borderId="1" xfId="1" applyNumberForma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</cellXfs>
  <cellStyles count="2">
    <cellStyle name="Normal" xfId="0" builtinId="0"/>
    <cellStyle name="Normal 2" xfId="1" xr:uid="{F07EACBA-0439-45F1-8B5E-B703B84CAA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D8F7F-61CF-4A18-8990-7ECDB8626338}">
  <dimension ref="A1:O46"/>
  <sheetViews>
    <sheetView tabSelected="1" topLeftCell="A4" zoomScale="145" zoomScaleNormal="145" workbookViewId="0">
      <selection activeCell="A46" sqref="A46"/>
    </sheetView>
  </sheetViews>
  <sheetFormatPr baseColWidth="10" defaultColWidth="11.42578125" defaultRowHeight="15"/>
  <cols>
    <col min="1" max="1" width="13" customWidth="1"/>
    <col min="2" max="2" width="18.85546875" customWidth="1"/>
    <col min="3" max="3" width="16.140625" customWidth="1"/>
    <col min="4" max="4" width="18.85546875" customWidth="1"/>
    <col min="5" max="5" width="23.42578125" customWidth="1"/>
    <col min="6" max="6" width="20.5703125" customWidth="1"/>
    <col min="7" max="7" width="19.7109375" customWidth="1"/>
    <col min="8" max="8" width="20.42578125" customWidth="1"/>
    <col min="9" max="9" width="19.85546875" customWidth="1"/>
    <col min="10" max="10" width="21.140625" customWidth="1"/>
    <col min="11" max="11" width="22.42578125" customWidth="1"/>
    <col min="12" max="12" width="16.42578125" customWidth="1"/>
    <col min="13" max="13" width="10.85546875" customWidth="1"/>
    <col min="14" max="14" width="16.7109375" customWidth="1"/>
    <col min="15" max="15" width="19.28515625" customWidth="1"/>
    <col min="16" max="16" width="13.5703125" bestFit="1" customWidth="1"/>
  </cols>
  <sheetData>
    <row r="1" spans="1:15">
      <c r="A1" s="3"/>
      <c r="B1" s="18" t="s">
        <v>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5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5"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</row>
    <row r="4" spans="1:15" ht="76.150000000000006" customHeight="1">
      <c r="A4" s="2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26</v>
      </c>
      <c r="G4" s="4" t="s">
        <v>27</v>
      </c>
      <c r="H4" s="4" t="s">
        <v>28</v>
      </c>
      <c r="I4" s="4" t="s">
        <v>29</v>
      </c>
      <c r="J4" s="4" t="s">
        <v>30</v>
      </c>
      <c r="K4" s="4" t="s">
        <v>31</v>
      </c>
      <c r="L4" s="2" t="s">
        <v>32</v>
      </c>
      <c r="M4" s="2" t="s">
        <v>0</v>
      </c>
      <c r="N4" s="2" t="s">
        <v>33</v>
      </c>
      <c r="O4" s="2" t="s">
        <v>34</v>
      </c>
    </row>
    <row r="5" spans="1:15">
      <c r="A5" s="1">
        <v>1</v>
      </c>
      <c r="B5" s="1">
        <v>1</v>
      </c>
      <c r="C5" s="1">
        <v>1</v>
      </c>
      <c r="D5" s="1">
        <v>5</v>
      </c>
      <c r="E5" s="1">
        <v>1</v>
      </c>
      <c r="F5" s="1">
        <v>3</v>
      </c>
      <c r="G5" s="1">
        <v>1</v>
      </c>
      <c r="H5" s="1">
        <v>5</v>
      </c>
      <c r="I5" s="1">
        <v>1</v>
      </c>
      <c r="J5" s="1">
        <v>3</v>
      </c>
      <c r="K5" s="1">
        <v>1</v>
      </c>
      <c r="L5" s="1">
        <f t="shared" ref="L5:L35" si="0">(B5-1)+(5-C5)+(D5-1)+(5-E5)+(F5-1)+(5-G5)+(H5-1)+(5-I5)+(J5-1)+(5-K5)</f>
        <v>32</v>
      </c>
      <c r="M5" s="1">
        <f>L5*2.5</f>
        <v>80</v>
      </c>
      <c r="N5" s="1" t="str">
        <f>IF(M5&lt;51.7,"F (Poor)",
 IF(M5&lt;62.6,"D (Bad)",
 IF(M5&lt;64.9,"C- (Low)",
 IF(M5&lt;71,"C (Average)",
 IF(M5&lt;72.5,"C+ (Average+)",
 IF(M5&lt;74,"B- (Good)",
 IF(M5&lt;77.1,"B (Good)",
 IF(M5&lt;78.8,"B+ (Good+)",
 IF(M5&lt;80.7,"A- (Very Good)",
 IF(M5&lt;84,"A (Excellent)",
 "A+ (Outstanding)"))))))))))</f>
        <v>A- (Very Good)</v>
      </c>
    </row>
    <row r="6" spans="1:15">
      <c r="A6" s="1">
        <v>2</v>
      </c>
      <c r="B6" s="1">
        <v>2</v>
      </c>
      <c r="C6" s="1">
        <v>1</v>
      </c>
      <c r="D6" s="1">
        <v>5</v>
      </c>
      <c r="E6" s="1">
        <v>1</v>
      </c>
      <c r="F6" s="1">
        <v>5</v>
      </c>
      <c r="G6" s="1">
        <v>1</v>
      </c>
      <c r="H6" s="1">
        <v>5</v>
      </c>
      <c r="I6" s="1">
        <v>1</v>
      </c>
      <c r="J6" s="1">
        <v>4</v>
      </c>
      <c r="K6" s="1">
        <v>1</v>
      </c>
      <c r="L6" s="1">
        <f t="shared" si="0"/>
        <v>36</v>
      </c>
      <c r="M6" s="1">
        <f t="shared" ref="M6:M35" si="1">L6*2.5</f>
        <v>90</v>
      </c>
      <c r="N6" s="1" t="str">
        <f t="shared" ref="N6:N35" si="2">IF(M6&lt;51.7,"F (Poor)",
 IF(M6&lt;62.6,"D (Bad)",
 IF(M6&lt;64.9,"C- (Low)",
 IF(M6&lt;71,"C (Average)",
 IF(M6&lt;72.5,"C+ (Average+)",
 IF(M6&lt;74,"B- (Good)",
 IF(M6&lt;77.1,"B (Good)",
 IF(M6&lt;78.8,"B+ (Good+)",
 IF(M6&lt;80.7,"A- (Very Good)",
 IF(M6&lt;84,"A (Excellent)",
 "A+ (Outstanding)"))))))))))</f>
        <v>A+ (Outstanding)</v>
      </c>
    </row>
    <row r="7" spans="1:15">
      <c r="A7" s="1">
        <v>3</v>
      </c>
      <c r="B7" s="1">
        <v>3</v>
      </c>
      <c r="C7" s="1">
        <v>1</v>
      </c>
      <c r="D7" s="1">
        <v>5</v>
      </c>
      <c r="E7" s="1">
        <v>2</v>
      </c>
      <c r="F7" s="1">
        <v>4</v>
      </c>
      <c r="G7" s="1">
        <v>1</v>
      </c>
      <c r="H7" s="1">
        <v>5</v>
      </c>
      <c r="I7" s="1">
        <v>1</v>
      </c>
      <c r="J7" s="1">
        <v>5</v>
      </c>
      <c r="K7" s="1">
        <v>2</v>
      </c>
      <c r="L7" s="1">
        <f t="shared" si="0"/>
        <v>35</v>
      </c>
      <c r="M7" s="1">
        <f t="shared" si="1"/>
        <v>87.5</v>
      </c>
      <c r="N7" s="1" t="str">
        <f t="shared" si="2"/>
        <v>A+ (Outstanding)</v>
      </c>
    </row>
    <row r="8" spans="1:15">
      <c r="A8" s="1">
        <v>4</v>
      </c>
      <c r="B8" s="1">
        <v>3</v>
      </c>
      <c r="C8" s="1">
        <v>2</v>
      </c>
      <c r="D8" s="1">
        <v>1</v>
      </c>
      <c r="E8" s="1">
        <v>1</v>
      </c>
      <c r="F8" s="1">
        <v>5</v>
      </c>
      <c r="G8" s="1">
        <v>1</v>
      </c>
      <c r="H8" s="1">
        <v>5</v>
      </c>
      <c r="I8" s="1">
        <v>1</v>
      </c>
      <c r="J8" s="1">
        <v>5</v>
      </c>
      <c r="K8" s="1">
        <v>3</v>
      </c>
      <c r="L8" s="1">
        <f t="shared" si="0"/>
        <v>31</v>
      </c>
      <c r="M8" s="1">
        <f t="shared" si="1"/>
        <v>77.5</v>
      </c>
      <c r="N8" s="1" t="str">
        <f t="shared" si="2"/>
        <v>B+ (Good+)</v>
      </c>
    </row>
    <row r="9" spans="1:15">
      <c r="A9" s="1">
        <v>5</v>
      </c>
      <c r="B9" s="1">
        <v>3</v>
      </c>
      <c r="C9" s="1">
        <v>1</v>
      </c>
      <c r="D9" s="1">
        <v>4</v>
      </c>
      <c r="E9" s="1">
        <v>1</v>
      </c>
      <c r="F9" s="1">
        <v>5</v>
      </c>
      <c r="G9" s="1">
        <v>1</v>
      </c>
      <c r="H9" s="1">
        <v>4</v>
      </c>
      <c r="I9" s="1">
        <v>1</v>
      </c>
      <c r="J9" s="1">
        <v>5</v>
      </c>
      <c r="K9" s="1">
        <v>1</v>
      </c>
      <c r="L9" s="1">
        <f t="shared" si="0"/>
        <v>36</v>
      </c>
      <c r="M9" s="1">
        <f t="shared" si="1"/>
        <v>90</v>
      </c>
      <c r="N9" s="1" t="str">
        <f t="shared" si="2"/>
        <v>A+ (Outstanding)</v>
      </c>
    </row>
    <row r="10" spans="1:15">
      <c r="A10" s="1">
        <v>6</v>
      </c>
      <c r="B10" s="1">
        <v>2</v>
      </c>
      <c r="C10" s="1">
        <v>1</v>
      </c>
      <c r="D10" s="1">
        <v>5</v>
      </c>
      <c r="E10" s="1">
        <v>5</v>
      </c>
      <c r="F10" s="1">
        <v>5</v>
      </c>
      <c r="G10" s="1">
        <v>1</v>
      </c>
      <c r="H10" s="1">
        <v>5</v>
      </c>
      <c r="I10" s="1">
        <v>1</v>
      </c>
      <c r="J10" s="1">
        <v>5</v>
      </c>
      <c r="K10" s="1">
        <v>1</v>
      </c>
      <c r="L10" s="1">
        <f t="shared" si="0"/>
        <v>33</v>
      </c>
      <c r="M10" s="1">
        <f t="shared" si="1"/>
        <v>82.5</v>
      </c>
      <c r="N10" s="1" t="str">
        <f t="shared" si="2"/>
        <v>A (Excellent)</v>
      </c>
    </row>
    <row r="11" spans="1:15">
      <c r="A11" s="1">
        <v>7</v>
      </c>
      <c r="B11" s="1">
        <v>4</v>
      </c>
      <c r="C11" s="1">
        <v>4</v>
      </c>
      <c r="D11" s="1">
        <v>3</v>
      </c>
      <c r="E11" s="1">
        <v>5</v>
      </c>
      <c r="F11" s="1">
        <v>4</v>
      </c>
      <c r="G11" s="1">
        <v>4</v>
      </c>
      <c r="H11" s="1">
        <v>4</v>
      </c>
      <c r="I11" s="1">
        <v>5</v>
      </c>
      <c r="J11" s="1">
        <v>3</v>
      </c>
      <c r="K11" s="1">
        <v>5</v>
      </c>
      <c r="L11" s="1">
        <f t="shared" si="0"/>
        <v>15</v>
      </c>
      <c r="M11" s="1">
        <f t="shared" si="1"/>
        <v>37.5</v>
      </c>
      <c r="N11" s="1" t="str">
        <f t="shared" si="2"/>
        <v>F (Poor)</v>
      </c>
    </row>
    <row r="12" spans="1:15">
      <c r="A12" s="1">
        <v>8</v>
      </c>
      <c r="B12" s="1">
        <v>3</v>
      </c>
      <c r="C12" s="1">
        <v>1</v>
      </c>
      <c r="D12" s="1">
        <v>5</v>
      </c>
      <c r="E12" s="1">
        <v>1</v>
      </c>
      <c r="F12" s="1">
        <v>4</v>
      </c>
      <c r="G12" s="1">
        <v>1</v>
      </c>
      <c r="H12" s="1">
        <v>5</v>
      </c>
      <c r="I12" s="1">
        <v>1</v>
      </c>
      <c r="J12" s="1">
        <v>5</v>
      </c>
      <c r="K12" s="1">
        <v>1</v>
      </c>
      <c r="L12" s="1">
        <f t="shared" si="0"/>
        <v>37</v>
      </c>
      <c r="M12" s="1">
        <f t="shared" si="1"/>
        <v>92.5</v>
      </c>
      <c r="N12" s="1" t="str">
        <f t="shared" si="2"/>
        <v>A+ (Outstanding)</v>
      </c>
    </row>
    <row r="13" spans="1:15">
      <c r="A13" s="1">
        <v>9</v>
      </c>
      <c r="B13" s="1">
        <v>4</v>
      </c>
      <c r="C13" s="1">
        <v>1</v>
      </c>
      <c r="D13" s="1">
        <v>1</v>
      </c>
      <c r="E13" s="1">
        <v>2</v>
      </c>
      <c r="F13" s="1">
        <v>4</v>
      </c>
      <c r="G13" s="1">
        <v>1</v>
      </c>
      <c r="H13" s="1">
        <v>4</v>
      </c>
      <c r="I13" s="1">
        <v>1</v>
      </c>
      <c r="J13" s="1">
        <v>4</v>
      </c>
      <c r="K13" s="1">
        <v>3</v>
      </c>
      <c r="L13" s="1">
        <f t="shared" si="0"/>
        <v>29</v>
      </c>
      <c r="M13" s="1">
        <f t="shared" si="1"/>
        <v>72.5</v>
      </c>
      <c r="N13" s="1" t="str">
        <f t="shared" si="2"/>
        <v>B- (Good)</v>
      </c>
    </row>
    <row r="14" spans="1:15">
      <c r="A14" s="1">
        <v>10</v>
      </c>
      <c r="B14" s="1">
        <v>4</v>
      </c>
      <c r="C14" s="1">
        <v>1</v>
      </c>
      <c r="D14" s="1">
        <v>5</v>
      </c>
      <c r="E14" s="1">
        <v>1</v>
      </c>
      <c r="F14" s="1">
        <v>5</v>
      </c>
      <c r="G14" s="1">
        <v>1</v>
      </c>
      <c r="H14" s="1">
        <v>4</v>
      </c>
      <c r="I14" s="1">
        <v>1</v>
      </c>
      <c r="J14" s="1">
        <v>5</v>
      </c>
      <c r="K14" s="1">
        <v>1</v>
      </c>
      <c r="L14" s="1">
        <f t="shared" si="0"/>
        <v>38</v>
      </c>
      <c r="M14" s="1">
        <f t="shared" si="1"/>
        <v>95</v>
      </c>
      <c r="N14" s="1" t="str">
        <f t="shared" si="2"/>
        <v>A+ (Outstanding)</v>
      </c>
    </row>
    <row r="15" spans="1:15">
      <c r="A15" s="1">
        <v>11</v>
      </c>
      <c r="B15" s="1">
        <v>3</v>
      </c>
      <c r="C15" s="1">
        <v>1</v>
      </c>
      <c r="D15" s="1">
        <v>5</v>
      </c>
      <c r="E15" s="1">
        <v>1</v>
      </c>
      <c r="F15" s="1">
        <v>5</v>
      </c>
      <c r="G15" s="1">
        <v>1</v>
      </c>
      <c r="H15" s="1">
        <v>5</v>
      </c>
      <c r="I15" s="1">
        <v>1</v>
      </c>
      <c r="J15" s="1">
        <v>5</v>
      </c>
      <c r="K15" s="1">
        <v>1</v>
      </c>
      <c r="L15" s="1">
        <f t="shared" si="0"/>
        <v>38</v>
      </c>
      <c r="M15" s="1">
        <f t="shared" si="1"/>
        <v>95</v>
      </c>
      <c r="N15" s="1" t="str">
        <f t="shared" si="2"/>
        <v>A+ (Outstanding)</v>
      </c>
    </row>
    <row r="16" spans="1:15">
      <c r="A16" s="1">
        <v>12</v>
      </c>
      <c r="B16" s="1">
        <v>3</v>
      </c>
      <c r="C16" s="1">
        <v>1</v>
      </c>
      <c r="D16" s="1">
        <v>5</v>
      </c>
      <c r="E16" s="1">
        <v>1</v>
      </c>
      <c r="F16" s="1">
        <v>4</v>
      </c>
      <c r="G16" s="1">
        <v>1</v>
      </c>
      <c r="H16" s="1">
        <v>4</v>
      </c>
      <c r="I16" s="1">
        <v>1</v>
      </c>
      <c r="J16" s="1">
        <v>4</v>
      </c>
      <c r="K16" s="1">
        <v>2</v>
      </c>
      <c r="L16" s="1">
        <f t="shared" si="0"/>
        <v>34</v>
      </c>
      <c r="M16" s="1">
        <f t="shared" si="1"/>
        <v>85</v>
      </c>
      <c r="N16" s="1" t="str">
        <f t="shared" si="2"/>
        <v>A+ (Outstanding)</v>
      </c>
    </row>
    <row r="17" spans="1:14">
      <c r="A17" s="1">
        <v>13</v>
      </c>
      <c r="B17" s="1">
        <v>3</v>
      </c>
      <c r="C17" s="1">
        <v>2</v>
      </c>
      <c r="D17" s="1">
        <v>4</v>
      </c>
      <c r="E17" s="1">
        <v>1</v>
      </c>
      <c r="F17" s="1">
        <v>4</v>
      </c>
      <c r="G17" s="1">
        <v>2</v>
      </c>
      <c r="H17" s="1">
        <v>3</v>
      </c>
      <c r="I17" s="1">
        <v>1</v>
      </c>
      <c r="J17" s="1">
        <v>5</v>
      </c>
      <c r="K17" s="1">
        <v>1</v>
      </c>
      <c r="L17" s="1">
        <f t="shared" si="0"/>
        <v>32</v>
      </c>
      <c r="M17" s="1">
        <f t="shared" si="1"/>
        <v>80</v>
      </c>
      <c r="N17" s="1" t="str">
        <f t="shared" si="2"/>
        <v>A- (Very Good)</v>
      </c>
    </row>
    <row r="18" spans="1:14">
      <c r="A18" s="1">
        <v>14</v>
      </c>
      <c r="B18" s="1">
        <v>3</v>
      </c>
      <c r="C18" s="1">
        <v>1</v>
      </c>
      <c r="D18" s="1">
        <v>5</v>
      </c>
      <c r="E18" s="1">
        <v>1</v>
      </c>
      <c r="F18" s="1">
        <v>4</v>
      </c>
      <c r="G18" s="1">
        <v>1</v>
      </c>
      <c r="H18" s="1">
        <v>4</v>
      </c>
      <c r="I18" s="1">
        <v>1</v>
      </c>
      <c r="J18" s="1">
        <v>4</v>
      </c>
      <c r="K18" s="1">
        <v>1</v>
      </c>
      <c r="L18" s="1">
        <f t="shared" si="0"/>
        <v>35</v>
      </c>
      <c r="M18" s="1">
        <f t="shared" si="1"/>
        <v>87.5</v>
      </c>
      <c r="N18" s="1" t="str">
        <f t="shared" si="2"/>
        <v>A+ (Outstanding)</v>
      </c>
    </row>
    <row r="19" spans="1:14">
      <c r="A19" s="1">
        <v>15</v>
      </c>
      <c r="B19" s="1">
        <v>3</v>
      </c>
      <c r="C19" s="1">
        <v>1</v>
      </c>
      <c r="D19" s="1">
        <v>5</v>
      </c>
      <c r="E19" s="1">
        <v>2</v>
      </c>
      <c r="F19" s="1">
        <v>3</v>
      </c>
      <c r="G19" s="1">
        <v>1</v>
      </c>
      <c r="H19" s="1">
        <v>4</v>
      </c>
      <c r="I19" s="1">
        <v>1</v>
      </c>
      <c r="J19" s="1">
        <v>5</v>
      </c>
      <c r="K19" s="1">
        <v>1</v>
      </c>
      <c r="L19" s="1">
        <f t="shared" si="0"/>
        <v>34</v>
      </c>
      <c r="M19" s="1">
        <f t="shared" si="1"/>
        <v>85</v>
      </c>
      <c r="N19" s="1" t="str">
        <f t="shared" si="2"/>
        <v>A+ (Outstanding)</v>
      </c>
    </row>
    <row r="20" spans="1:14">
      <c r="A20" s="1">
        <v>16</v>
      </c>
      <c r="B20" s="1">
        <v>1</v>
      </c>
      <c r="C20" s="1">
        <v>1</v>
      </c>
      <c r="D20" s="1">
        <v>5</v>
      </c>
      <c r="E20" s="1">
        <v>1</v>
      </c>
      <c r="F20" s="1">
        <v>5</v>
      </c>
      <c r="G20" s="1">
        <v>1</v>
      </c>
      <c r="H20" s="1">
        <v>5</v>
      </c>
      <c r="I20" s="1">
        <v>1</v>
      </c>
      <c r="J20" s="1">
        <v>5</v>
      </c>
      <c r="K20" s="1">
        <v>1</v>
      </c>
      <c r="L20" s="1">
        <f t="shared" si="0"/>
        <v>36</v>
      </c>
      <c r="M20" s="1">
        <f t="shared" si="1"/>
        <v>90</v>
      </c>
      <c r="N20" s="1" t="str">
        <f t="shared" si="2"/>
        <v>A+ (Outstanding)</v>
      </c>
    </row>
    <row r="21" spans="1:14">
      <c r="A21" s="1">
        <v>17</v>
      </c>
      <c r="B21" s="1">
        <v>4</v>
      </c>
      <c r="C21" s="1">
        <v>2</v>
      </c>
      <c r="D21" s="1">
        <v>3</v>
      </c>
      <c r="E21" s="1">
        <v>2</v>
      </c>
      <c r="F21" s="1">
        <v>3</v>
      </c>
      <c r="G21" s="1">
        <v>2</v>
      </c>
      <c r="H21" s="1">
        <v>3</v>
      </c>
      <c r="I21" s="1">
        <v>2</v>
      </c>
      <c r="J21" s="1">
        <v>3</v>
      </c>
      <c r="K21" s="1">
        <v>2</v>
      </c>
      <c r="L21" s="1">
        <f t="shared" si="0"/>
        <v>26</v>
      </c>
      <c r="M21" s="1">
        <f t="shared" si="1"/>
        <v>65</v>
      </c>
      <c r="N21" s="1" t="str">
        <f t="shared" si="2"/>
        <v>C (Average)</v>
      </c>
    </row>
    <row r="22" spans="1:14">
      <c r="A22" s="1">
        <v>18</v>
      </c>
      <c r="B22" s="1">
        <v>3</v>
      </c>
      <c r="C22" s="1">
        <v>1</v>
      </c>
      <c r="D22" s="1">
        <v>5</v>
      </c>
      <c r="E22" s="1">
        <v>1</v>
      </c>
      <c r="F22" s="1">
        <v>5</v>
      </c>
      <c r="G22" s="1">
        <v>1</v>
      </c>
      <c r="H22" s="1">
        <v>5</v>
      </c>
      <c r="I22" s="1">
        <v>1</v>
      </c>
      <c r="J22" s="1">
        <v>5</v>
      </c>
      <c r="K22" s="1">
        <v>1</v>
      </c>
      <c r="L22" s="1">
        <f t="shared" si="0"/>
        <v>38</v>
      </c>
      <c r="M22" s="1">
        <f t="shared" si="1"/>
        <v>95</v>
      </c>
      <c r="N22" s="1" t="str">
        <f t="shared" si="2"/>
        <v>A+ (Outstanding)</v>
      </c>
    </row>
    <row r="23" spans="1:14">
      <c r="A23" s="1">
        <v>19</v>
      </c>
      <c r="B23" s="1">
        <v>4</v>
      </c>
      <c r="C23" s="1">
        <v>1</v>
      </c>
      <c r="D23" s="1">
        <v>5</v>
      </c>
      <c r="E23" s="1">
        <v>1</v>
      </c>
      <c r="F23" s="1">
        <v>5</v>
      </c>
      <c r="G23" s="1">
        <v>2</v>
      </c>
      <c r="H23" s="1">
        <v>5</v>
      </c>
      <c r="I23" s="1">
        <v>1</v>
      </c>
      <c r="J23" s="1">
        <v>5</v>
      </c>
      <c r="K23" s="1">
        <v>1</v>
      </c>
      <c r="L23" s="1">
        <f t="shared" si="0"/>
        <v>38</v>
      </c>
      <c r="M23" s="1">
        <f t="shared" si="1"/>
        <v>95</v>
      </c>
      <c r="N23" s="1" t="str">
        <f t="shared" si="2"/>
        <v>A+ (Outstanding)</v>
      </c>
    </row>
    <row r="24" spans="1:14">
      <c r="A24" s="1">
        <v>20</v>
      </c>
      <c r="B24" s="1">
        <v>4</v>
      </c>
      <c r="C24" s="1">
        <v>1</v>
      </c>
      <c r="D24" s="1">
        <v>4</v>
      </c>
      <c r="E24" s="1">
        <v>1</v>
      </c>
      <c r="F24" s="1">
        <v>4</v>
      </c>
      <c r="G24" s="1">
        <v>1</v>
      </c>
      <c r="H24" s="1">
        <v>4</v>
      </c>
      <c r="I24" s="1">
        <v>1</v>
      </c>
      <c r="J24" s="1">
        <v>4</v>
      </c>
      <c r="K24" s="1">
        <v>1</v>
      </c>
      <c r="L24" s="1">
        <f t="shared" si="0"/>
        <v>35</v>
      </c>
      <c r="M24" s="1">
        <f t="shared" si="1"/>
        <v>87.5</v>
      </c>
      <c r="N24" s="1" t="str">
        <f t="shared" si="2"/>
        <v>A+ (Outstanding)</v>
      </c>
    </row>
    <row r="25" spans="1:14">
      <c r="A25" s="1">
        <v>21</v>
      </c>
      <c r="B25" s="1">
        <v>1</v>
      </c>
      <c r="C25" s="1">
        <v>3</v>
      </c>
      <c r="D25" s="1">
        <v>5</v>
      </c>
      <c r="E25" s="1">
        <v>1</v>
      </c>
      <c r="F25" s="1">
        <v>4</v>
      </c>
      <c r="G25" s="1">
        <v>1</v>
      </c>
      <c r="H25" s="1">
        <v>4</v>
      </c>
      <c r="I25" s="1">
        <v>1</v>
      </c>
      <c r="J25" s="1">
        <v>4</v>
      </c>
      <c r="K25" s="1">
        <v>1</v>
      </c>
      <c r="L25" s="1">
        <f t="shared" si="0"/>
        <v>31</v>
      </c>
      <c r="M25" s="1">
        <f t="shared" si="1"/>
        <v>77.5</v>
      </c>
      <c r="N25" s="1" t="str">
        <f t="shared" si="2"/>
        <v>B+ (Good+)</v>
      </c>
    </row>
    <row r="26" spans="1:14">
      <c r="A26" s="1">
        <v>22</v>
      </c>
      <c r="B26" s="1">
        <v>3</v>
      </c>
      <c r="C26" s="1">
        <v>1</v>
      </c>
      <c r="D26" s="1">
        <v>5</v>
      </c>
      <c r="E26" s="1">
        <v>1</v>
      </c>
      <c r="F26" s="1">
        <v>5</v>
      </c>
      <c r="G26" s="1">
        <v>1</v>
      </c>
      <c r="H26" s="1">
        <v>5</v>
      </c>
      <c r="I26" s="1">
        <v>1</v>
      </c>
      <c r="J26" s="1">
        <v>5</v>
      </c>
      <c r="K26" s="1">
        <v>1</v>
      </c>
      <c r="L26" s="1">
        <f t="shared" si="0"/>
        <v>38</v>
      </c>
      <c r="M26" s="1">
        <f t="shared" si="1"/>
        <v>95</v>
      </c>
      <c r="N26" s="1" t="str">
        <f t="shared" si="2"/>
        <v>A+ (Outstanding)</v>
      </c>
    </row>
    <row r="27" spans="1:14">
      <c r="A27" s="1">
        <v>23</v>
      </c>
      <c r="B27" s="1">
        <v>4</v>
      </c>
      <c r="C27" s="1">
        <v>1</v>
      </c>
      <c r="D27" s="1">
        <v>3</v>
      </c>
      <c r="E27" s="1">
        <v>3</v>
      </c>
      <c r="F27" s="1">
        <v>4</v>
      </c>
      <c r="G27" s="1">
        <v>2</v>
      </c>
      <c r="H27" s="1">
        <v>5</v>
      </c>
      <c r="I27" s="1">
        <v>1</v>
      </c>
      <c r="J27" s="1">
        <v>4</v>
      </c>
      <c r="K27" s="1">
        <v>2</v>
      </c>
      <c r="L27" s="1">
        <f t="shared" si="0"/>
        <v>31</v>
      </c>
      <c r="M27" s="1">
        <f t="shared" si="1"/>
        <v>77.5</v>
      </c>
      <c r="N27" s="1" t="str">
        <f t="shared" si="2"/>
        <v>B+ (Good+)</v>
      </c>
    </row>
    <row r="28" spans="1:14">
      <c r="A28" s="1">
        <v>24</v>
      </c>
      <c r="B28" s="1">
        <v>4</v>
      </c>
      <c r="C28" s="1">
        <v>1</v>
      </c>
      <c r="D28" s="1">
        <v>5</v>
      </c>
      <c r="E28" s="1">
        <v>1</v>
      </c>
      <c r="F28" s="1">
        <v>5</v>
      </c>
      <c r="G28" s="1">
        <v>1</v>
      </c>
      <c r="H28" s="1">
        <v>4</v>
      </c>
      <c r="I28" s="1">
        <v>1</v>
      </c>
      <c r="J28" s="1">
        <v>4</v>
      </c>
      <c r="K28" s="1">
        <v>2</v>
      </c>
      <c r="L28" s="1">
        <f t="shared" si="0"/>
        <v>36</v>
      </c>
      <c r="M28" s="1">
        <f t="shared" si="1"/>
        <v>90</v>
      </c>
      <c r="N28" s="1" t="str">
        <f t="shared" si="2"/>
        <v>A+ (Outstanding)</v>
      </c>
    </row>
    <row r="29" spans="1:14">
      <c r="A29" s="1">
        <v>25</v>
      </c>
      <c r="B29" s="1">
        <v>4</v>
      </c>
      <c r="C29" s="1">
        <v>1</v>
      </c>
      <c r="D29" s="1">
        <v>5</v>
      </c>
      <c r="E29" s="1">
        <v>1</v>
      </c>
      <c r="F29" s="1">
        <v>3</v>
      </c>
      <c r="G29" s="1">
        <v>3</v>
      </c>
      <c r="H29" s="1">
        <v>5</v>
      </c>
      <c r="I29" s="1">
        <v>1</v>
      </c>
      <c r="J29" s="1">
        <v>4</v>
      </c>
      <c r="K29" s="1">
        <v>2</v>
      </c>
      <c r="L29" s="1">
        <f t="shared" si="0"/>
        <v>33</v>
      </c>
      <c r="M29" s="1">
        <f t="shared" si="1"/>
        <v>82.5</v>
      </c>
      <c r="N29" s="1" t="str">
        <f t="shared" si="2"/>
        <v>A (Excellent)</v>
      </c>
    </row>
    <row r="30" spans="1:14">
      <c r="A30" s="1">
        <v>26</v>
      </c>
      <c r="B30" s="1">
        <v>1</v>
      </c>
      <c r="C30" s="1">
        <v>2</v>
      </c>
      <c r="D30" s="1">
        <v>5</v>
      </c>
      <c r="E30" s="1">
        <v>3</v>
      </c>
      <c r="F30" s="1">
        <v>4</v>
      </c>
      <c r="G30" s="1">
        <v>1</v>
      </c>
      <c r="H30" s="1">
        <v>5</v>
      </c>
      <c r="I30" s="1">
        <v>2</v>
      </c>
      <c r="J30" s="1">
        <v>3</v>
      </c>
      <c r="K30" s="1">
        <v>4</v>
      </c>
      <c r="L30" s="1">
        <f t="shared" si="0"/>
        <v>26</v>
      </c>
      <c r="M30" s="1">
        <f t="shared" si="1"/>
        <v>65</v>
      </c>
      <c r="N30" s="1" t="str">
        <f t="shared" si="2"/>
        <v>C (Average)</v>
      </c>
    </row>
    <row r="31" spans="1:14">
      <c r="A31" s="1">
        <v>27</v>
      </c>
      <c r="B31" s="1">
        <v>3</v>
      </c>
      <c r="C31" s="1">
        <v>2</v>
      </c>
      <c r="D31" s="1">
        <v>4</v>
      </c>
      <c r="E31" s="1">
        <v>4</v>
      </c>
      <c r="F31" s="1">
        <v>4</v>
      </c>
      <c r="G31" s="1">
        <v>2</v>
      </c>
      <c r="H31" s="1">
        <v>4</v>
      </c>
      <c r="I31" s="1">
        <v>1</v>
      </c>
      <c r="J31" s="1">
        <v>2</v>
      </c>
      <c r="K31" s="1">
        <v>2</v>
      </c>
      <c r="L31" s="1">
        <f t="shared" si="0"/>
        <v>26</v>
      </c>
      <c r="M31" s="1">
        <f t="shared" si="1"/>
        <v>65</v>
      </c>
      <c r="N31" s="1" t="str">
        <f t="shared" si="2"/>
        <v>C (Average)</v>
      </c>
    </row>
    <row r="32" spans="1:14">
      <c r="A32" s="1">
        <v>28</v>
      </c>
      <c r="B32" s="1">
        <v>2</v>
      </c>
      <c r="C32" s="1">
        <v>4</v>
      </c>
      <c r="D32" s="1">
        <v>4</v>
      </c>
      <c r="E32" s="1">
        <v>3</v>
      </c>
      <c r="F32" s="1">
        <v>3</v>
      </c>
      <c r="G32" s="1">
        <v>2</v>
      </c>
      <c r="H32" s="1">
        <v>2</v>
      </c>
      <c r="I32" s="1">
        <v>4</v>
      </c>
      <c r="J32" s="1">
        <v>3</v>
      </c>
      <c r="K32" s="1">
        <v>3</v>
      </c>
      <c r="L32" s="1">
        <f t="shared" si="0"/>
        <v>18</v>
      </c>
      <c r="M32" s="1">
        <f t="shared" si="1"/>
        <v>45</v>
      </c>
      <c r="N32" s="1" t="str">
        <f t="shared" si="2"/>
        <v>F (Poor)</v>
      </c>
    </row>
    <row r="33" spans="1:15">
      <c r="A33" s="1">
        <v>29</v>
      </c>
      <c r="B33" s="1">
        <v>3</v>
      </c>
      <c r="C33" s="1">
        <v>1</v>
      </c>
      <c r="D33" s="1">
        <v>5</v>
      </c>
      <c r="E33" s="1">
        <v>1</v>
      </c>
      <c r="F33" s="1">
        <v>5</v>
      </c>
      <c r="G33" s="1">
        <v>1</v>
      </c>
      <c r="H33" s="1">
        <v>4</v>
      </c>
      <c r="I33" s="1">
        <v>1</v>
      </c>
      <c r="J33" s="1">
        <v>3</v>
      </c>
      <c r="K33" s="1">
        <v>1</v>
      </c>
      <c r="L33" s="1">
        <f t="shared" si="0"/>
        <v>35</v>
      </c>
      <c r="M33" s="1">
        <f t="shared" si="1"/>
        <v>87.5</v>
      </c>
      <c r="N33" s="1" t="str">
        <f t="shared" si="2"/>
        <v>A+ (Outstanding)</v>
      </c>
    </row>
    <row r="34" spans="1:15">
      <c r="A34" s="1">
        <v>30</v>
      </c>
      <c r="B34" s="1">
        <v>3</v>
      </c>
      <c r="C34" s="1">
        <v>1</v>
      </c>
      <c r="D34" s="1">
        <v>5</v>
      </c>
      <c r="E34" s="1">
        <v>1</v>
      </c>
      <c r="F34" s="1">
        <v>5</v>
      </c>
      <c r="G34" s="1">
        <v>1</v>
      </c>
      <c r="H34" s="1">
        <v>5</v>
      </c>
      <c r="I34" s="1">
        <v>1</v>
      </c>
      <c r="J34" s="1">
        <v>5</v>
      </c>
      <c r="K34" s="1">
        <v>3</v>
      </c>
      <c r="L34" s="1">
        <f t="shared" si="0"/>
        <v>36</v>
      </c>
      <c r="M34" s="1">
        <f t="shared" si="1"/>
        <v>90</v>
      </c>
      <c r="N34" s="1" t="str">
        <f t="shared" si="2"/>
        <v>A+ (Outstanding)</v>
      </c>
    </row>
    <row r="35" spans="1:15">
      <c r="A35" s="1">
        <v>31</v>
      </c>
      <c r="B35" s="1">
        <v>5</v>
      </c>
      <c r="C35" s="1">
        <v>2</v>
      </c>
      <c r="D35" s="1">
        <v>4</v>
      </c>
      <c r="E35" s="1">
        <v>2</v>
      </c>
      <c r="F35" s="1">
        <v>4</v>
      </c>
      <c r="G35" s="1">
        <v>4</v>
      </c>
      <c r="H35" s="1">
        <v>4</v>
      </c>
      <c r="I35" s="1">
        <v>3</v>
      </c>
      <c r="J35" s="1">
        <v>4</v>
      </c>
      <c r="K35" s="1">
        <v>4</v>
      </c>
      <c r="L35" s="1">
        <f t="shared" si="0"/>
        <v>26</v>
      </c>
      <c r="M35" s="1">
        <f t="shared" si="1"/>
        <v>65</v>
      </c>
      <c r="N35" s="1" t="str">
        <f t="shared" si="2"/>
        <v>C (Average)</v>
      </c>
    </row>
    <row r="36" spans="1:15">
      <c r="A36" s="1"/>
      <c r="K36" s="11" t="s">
        <v>35</v>
      </c>
      <c r="L36" s="11">
        <f>AVERAGE(L5:L35)</f>
        <v>32.387096774193552</v>
      </c>
      <c r="M36" s="11">
        <f>AVERAGE(M5:M35)</f>
        <v>80.967741935483872</v>
      </c>
      <c r="N36" s="11" t="str">
        <f>IF(M36&lt;51.7,"F (Poor)",
 IF(M36&lt;62.6,"D (Bad)",
 IF(M36&lt;64.9,"C- (Low)",
 IF(M36&lt;71,"C (Average)",
 IF(M36&lt;72.5,"C+ (Average+)",
 IF(M36&lt;74,"B- (Good)",
 IF(M36&lt;77.1,"B (Good)",
 IF(M36&lt;78.8,"B+ (Good+)",
 IF(M36&lt;80.7,"A- (Very Good)",
 IF(M36&lt;84,"A (Excellent)",
 "A+ (Outstanding)"))))))))))</f>
        <v>A (Excellent)</v>
      </c>
      <c r="O36" s="11">
        <f>IF(COUNT(L5:L35)&gt;1,
 (10/9)*(1-(
  (_xlfn.VAR.S(B5:B34)+_xlfn.VAR.S(C5:C34)+_xlfn.VAR.S(D5:D34)+_xlfn.VAR.S(E5:E34)+_xlfn.VAR.S(F5:F34)+_xlfn.VAR.S(G5:G34)+_xlfn.VAR.S(H5:H34)+_xlfn.VAR.S(I5:I34)+_xlfn.VAR.S(J5:J34)+_xlfn.VAR.S(K5:K34))
  /_xlfn.VAR.S(L5:L34)
 )),
 "")</f>
        <v>0.804550767801957</v>
      </c>
    </row>
    <row r="37" spans="1:15">
      <c r="O37" s="2" t="str">
        <f>IF(ROUND(O36,2)&gt;=0.9,"Excellent",
 IF(ROUND(O36,2)&gt;=0.8,"Good",
 IF(ROUND(O36,2)&gt;=0.7,"Acceptable",
 IF(ROUND(O36,2)&gt;=0.6,"Questionable",
 IF(ROUND(O36,2)&gt;=0.5,"Poor",
 "Unacceptable")))))</f>
        <v>Good</v>
      </c>
    </row>
    <row r="38" spans="1:1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spans="1:15">
      <c r="K39" t="s">
        <v>36</v>
      </c>
      <c r="M39" s="1">
        <f>COUNTA(M5:M35)</f>
        <v>31</v>
      </c>
    </row>
    <row r="40" spans="1:15">
      <c r="K40" t="s">
        <v>37</v>
      </c>
      <c r="L40" s="1"/>
      <c r="M40" s="1">
        <f>M36</f>
        <v>80.967741935483872</v>
      </c>
    </row>
    <row r="41" spans="1:15">
      <c r="K41" t="s">
        <v>38</v>
      </c>
      <c r="L41" s="1"/>
      <c r="M41" s="1">
        <f>_xlfn.STDEV.S(M5:M35)</f>
        <v>14.196205762967658</v>
      </c>
    </row>
    <row r="42" spans="1:15">
      <c r="K42" t="s">
        <v>39</v>
      </c>
      <c r="L42" s="1"/>
      <c r="M42" s="1">
        <f>68</f>
        <v>68</v>
      </c>
    </row>
    <row r="43" spans="1:15">
      <c r="M43" s="1"/>
    </row>
    <row r="44" spans="1:15">
      <c r="K44" t="s">
        <v>40</v>
      </c>
      <c r="M44">
        <f>(M40-M42)/(M41/SQRT(M39))</f>
        <v>5.0859597712445472</v>
      </c>
    </row>
    <row r="45" spans="1:15">
      <c r="K45" t="s">
        <v>41</v>
      </c>
      <c r="M45">
        <f>_xlfn.T.DIST.RT(M44, M39-1)</f>
        <v>9.1377423159243349E-6</v>
      </c>
    </row>
    <row r="46" spans="1:15">
      <c r="K46" t="s">
        <v>42</v>
      </c>
      <c r="M46">
        <f>100- (M45*100)</f>
        <v>99.999086225768409</v>
      </c>
    </row>
  </sheetData>
  <mergeCells count="2">
    <mergeCell ref="B1:N1"/>
    <mergeCell ref="A38:N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11069-BF26-448A-8FA3-5EC5117BCFC9}">
  <dimension ref="A1:U51"/>
  <sheetViews>
    <sheetView zoomScaleNormal="100" workbookViewId="0">
      <selection activeCell="U11" sqref="U11"/>
    </sheetView>
  </sheetViews>
  <sheetFormatPr baseColWidth="10" defaultColWidth="11.42578125" defaultRowHeight="15"/>
  <cols>
    <col min="1" max="1" width="12.28515625" customWidth="1"/>
    <col min="2" max="2" width="18.140625" customWidth="1"/>
    <col min="3" max="3" width="19.7109375" customWidth="1"/>
    <col min="4" max="4" width="35.140625" customWidth="1"/>
    <col min="5" max="5" width="33.42578125" customWidth="1"/>
    <col min="6" max="6" width="27.85546875" customWidth="1"/>
    <col min="7" max="7" width="37" customWidth="1"/>
    <col min="8" max="9" width="22.85546875" customWidth="1"/>
    <col min="10" max="10" width="30.7109375" customWidth="1"/>
    <col min="11" max="11" width="55.5703125" customWidth="1"/>
    <col min="12" max="12" width="36" customWidth="1"/>
    <col min="13" max="13" width="36.140625" customWidth="1"/>
    <col min="14" max="14" width="27.7109375" customWidth="1"/>
    <col min="15" max="15" width="16.28515625" customWidth="1"/>
    <col min="16" max="16" width="14.5703125" customWidth="1"/>
    <col min="17" max="17" width="18.85546875" customWidth="1"/>
    <col min="18" max="18" width="19.85546875" customWidth="1"/>
    <col min="19" max="19" width="17.42578125" customWidth="1"/>
    <col min="20" max="20" width="19.7109375" customWidth="1"/>
  </cols>
  <sheetData>
    <row r="1" spans="1:21" ht="14.45" customHeight="1">
      <c r="A1" s="20" t="s">
        <v>43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21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2"/>
      <c r="J2" s="2" t="s">
        <v>7</v>
      </c>
      <c r="K2" s="2" t="s">
        <v>8</v>
      </c>
      <c r="L2" s="2" t="s">
        <v>9</v>
      </c>
      <c r="M2" s="2" t="s">
        <v>10</v>
      </c>
      <c r="N2" s="2"/>
    </row>
    <row r="3" spans="1:21"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  <c r="H3" s="2"/>
      <c r="I3" s="2"/>
      <c r="J3" s="2" t="s">
        <v>50</v>
      </c>
      <c r="K3" s="2" t="s">
        <v>51</v>
      </c>
      <c r="L3" s="2" t="s">
        <v>52</v>
      </c>
      <c r="M3" s="2" t="s">
        <v>53</v>
      </c>
      <c r="N3" s="2"/>
    </row>
    <row r="4" spans="1:21" ht="129" customHeight="1">
      <c r="A4" s="2" t="s">
        <v>54</v>
      </c>
      <c r="B4" s="4" t="s">
        <v>55</v>
      </c>
      <c r="C4" s="4" t="s">
        <v>56</v>
      </c>
      <c r="D4" s="4" t="s">
        <v>57</v>
      </c>
      <c r="E4" s="4" t="s">
        <v>58</v>
      </c>
      <c r="F4" s="4" t="s">
        <v>59</v>
      </c>
      <c r="G4" s="4" t="s">
        <v>60</v>
      </c>
      <c r="H4" s="17" t="s">
        <v>61</v>
      </c>
      <c r="I4" s="17" t="s">
        <v>62</v>
      </c>
      <c r="J4" s="4" t="s">
        <v>63</v>
      </c>
      <c r="K4" s="4" t="s">
        <v>64</v>
      </c>
      <c r="L4" s="4" t="s">
        <v>65</v>
      </c>
      <c r="M4" s="4" t="s">
        <v>66</v>
      </c>
      <c r="N4" s="4" t="s">
        <v>67</v>
      </c>
      <c r="O4" s="2" t="s">
        <v>68</v>
      </c>
      <c r="P4" s="2" t="s">
        <v>69</v>
      </c>
      <c r="Q4" s="2" t="s">
        <v>70</v>
      </c>
      <c r="R4" s="2" t="s">
        <v>71</v>
      </c>
      <c r="S4" s="2"/>
      <c r="T4" s="2"/>
    </row>
    <row r="5" spans="1:21">
      <c r="A5" s="1">
        <v>1</v>
      </c>
      <c r="B5" s="1">
        <v>1</v>
      </c>
      <c r="C5" s="1">
        <v>1</v>
      </c>
      <c r="D5" s="1">
        <v>1</v>
      </c>
      <c r="E5" s="1">
        <v>247</v>
      </c>
      <c r="F5" s="1">
        <v>26</v>
      </c>
      <c r="G5" s="1">
        <v>25</v>
      </c>
      <c r="H5" s="1">
        <f>LN(F5)</f>
        <v>3.2580965380214821</v>
      </c>
      <c r="I5" s="1">
        <f>LN(G5)</f>
        <v>3.2188758248682006</v>
      </c>
      <c r="J5" s="1">
        <v>0</v>
      </c>
      <c r="K5" s="1">
        <v>0</v>
      </c>
      <c r="L5" s="1">
        <v>0</v>
      </c>
      <c r="M5" s="1">
        <v>0</v>
      </c>
      <c r="N5" s="1">
        <f>SUM(J5:K5)/2</f>
        <v>0</v>
      </c>
      <c r="O5" s="2">
        <f>((C5+D5)/2)*100</f>
        <v>100</v>
      </c>
      <c r="P5" s="2">
        <f>IF(COUNT(C5:M5)=0,0, (AVERAGE(C5:D5)) / (1 + SUM(J5:M5))
)</f>
        <v>1</v>
      </c>
      <c r="Q5" s="2">
        <f>SUS!$M5</f>
        <v>80</v>
      </c>
      <c r="R5" s="2" t="str">
        <f>IF(Q5&lt;51.7,"F (Poor)",
 IF(Q5&lt;62.6,"D (Bad)",
 IF(Q5&lt;64.9,"C- (Low)",
 IF(Q5&lt;71,"C (Average)",
 IF(Q5&lt;72.5,"C+ (Average+)",
 IF(Q5&lt;74,"B- (Good)",
 IF(Q5&lt;77.1,"B (Good)",
 IF(Q5&lt;78.8,"B+ (Good+)",
 IF(Q5&lt;80.7,"A- (Very Good)",
 IF(Q5&lt;84,"A (Excellent)",
 "A+ (Outstanding)"))))))))))</f>
        <v>A- (Very Good)</v>
      </c>
      <c r="T5" s="2" t="s">
        <v>72</v>
      </c>
      <c r="U5">
        <v>80</v>
      </c>
    </row>
    <row r="6" spans="1:21">
      <c r="A6" s="1">
        <v>2</v>
      </c>
      <c r="B6" s="1">
        <v>1</v>
      </c>
      <c r="C6" s="1">
        <v>1</v>
      </c>
      <c r="D6" s="1">
        <v>1</v>
      </c>
      <c r="E6" s="1">
        <v>192</v>
      </c>
      <c r="F6" s="1">
        <v>68</v>
      </c>
      <c r="G6" s="1">
        <v>11</v>
      </c>
      <c r="H6" s="1">
        <f t="shared" ref="H6:H35" si="0">LN(F6)</f>
        <v>4.219507705176107</v>
      </c>
      <c r="I6" s="1">
        <f t="shared" ref="I6:I35" si="1">LN(G6)</f>
        <v>2.3978952727983707</v>
      </c>
      <c r="J6" s="1">
        <v>1</v>
      </c>
      <c r="K6" s="1">
        <v>0</v>
      </c>
      <c r="L6" s="1">
        <v>0</v>
      </c>
      <c r="M6" s="1">
        <v>0</v>
      </c>
      <c r="N6" s="1">
        <f t="shared" ref="N6:N35" si="2">SUM(J6:K6)/2</f>
        <v>0.5</v>
      </c>
      <c r="O6" s="2">
        <f t="shared" ref="O6:O34" si="3">((C6+D6)/2)*100</f>
        <v>100</v>
      </c>
      <c r="P6" s="2">
        <f>IF(COUNT(C6:M6)=0,0, (AVERAGE(C6:D6)) / (1 + SUM(J6:M6))
)</f>
        <v>0.5</v>
      </c>
      <c r="Q6" s="2">
        <f>SUS!$M6</f>
        <v>90</v>
      </c>
      <c r="R6" s="2" t="str">
        <f t="shared" ref="R6:R36" si="4">IF(Q6&lt;51.7,"F (Poor)",
 IF(Q6&lt;62.6,"D (Bad)",
 IF(Q6&lt;64.9,"C- (Low)",
 IF(Q6&lt;71,"C (Average)",
 IF(Q6&lt;72.5,"C+ (Average+)",
 IF(Q6&lt;74,"B- (Good)",
 IF(Q6&lt;77.1,"B (Good)",
 IF(Q6&lt;78.8,"B+ (Good+)",
 IF(Q6&lt;80.7,"A- (Very Good)",
 IF(Q6&lt;84,"A (Excellent)",
 "A+ (Outstanding)"))))))))))</f>
        <v>A+ (Outstanding)</v>
      </c>
      <c r="T6" s="2" t="s">
        <v>73</v>
      </c>
      <c r="U6">
        <v>60</v>
      </c>
    </row>
    <row r="7" spans="1:21">
      <c r="A7" s="1">
        <v>3</v>
      </c>
      <c r="B7" s="1">
        <v>1</v>
      </c>
      <c r="C7" s="1">
        <v>1</v>
      </c>
      <c r="D7" s="1">
        <v>1</v>
      </c>
      <c r="E7" s="1">
        <v>270</v>
      </c>
      <c r="F7" s="1">
        <v>50</v>
      </c>
      <c r="G7" s="1">
        <v>60</v>
      </c>
      <c r="H7" s="1">
        <f t="shared" si="0"/>
        <v>3.912023005428146</v>
      </c>
      <c r="I7" s="1">
        <f t="shared" si="1"/>
        <v>4.0943445622221004</v>
      </c>
      <c r="J7" s="1">
        <v>1</v>
      </c>
      <c r="K7" s="1">
        <v>0</v>
      </c>
      <c r="L7" s="1">
        <v>0</v>
      </c>
      <c r="M7" s="1">
        <v>0</v>
      </c>
      <c r="N7" s="1">
        <f t="shared" si="2"/>
        <v>0.5</v>
      </c>
      <c r="O7" s="2">
        <f t="shared" si="3"/>
        <v>100</v>
      </c>
      <c r="P7" s="2">
        <f>IF(COUNT(C7:M7)=0,0,
 (AVERAGE(C7:D7)) / (1 + SUM(J7:M7))
)</f>
        <v>0.5</v>
      </c>
      <c r="Q7" s="2">
        <f>SUS!$M7</f>
        <v>87.5</v>
      </c>
      <c r="R7" s="2" t="str">
        <f t="shared" si="4"/>
        <v>A+ (Outstanding)</v>
      </c>
      <c r="T7" s="2"/>
    </row>
    <row r="8" spans="1:21">
      <c r="A8" s="1">
        <v>4</v>
      </c>
      <c r="B8" s="1">
        <v>1</v>
      </c>
      <c r="C8" s="1">
        <v>1</v>
      </c>
      <c r="D8" s="1">
        <v>1</v>
      </c>
      <c r="E8" s="1">
        <v>594</v>
      </c>
      <c r="F8" s="1">
        <v>22</v>
      </c>
      <c r="G8" s="1">
        <v>29</v>
      </c>
      <c r="H8" s="1">
        <f t="shared" si="0"/>
        <v>3.0910424533583161</v>
      </c>
      <c r="I8" s="1">
        <f t="shared" si="1"/>
        <v>3.3672958299864741</v>
      </c>
      <c r="J8" s="1">
        <v>1</v>
      </c>
      <c r="K8" s="1">
        <v>1</v>
      </c>
      <c r="L8" s="1">
        <v>0</v>
      </c>
      <c r="M8" s="1">
        <v>1</v>
      </c>
      <c r="N8" s="1">
        <f t="shared" si="2"/>
        <v>1</v>
      </c>
      <c r="O8" s="2">
        <f t="shared" si="3"/>
        <v>100</v>
      </c>
      <c r="P8" s="2">
        <f>IF(COUNT(C8:M8)=0,0,
 (AVERAGE(C8:D8)) / (1 + SUM(J8:M8))
)</f>
        <v>0.25</v>
      </c>
      <c r="Q8" s="2">
        <f>SUS!$M8</f>
        <v>77.5</v>
      </c>
      <c r="R8" s="2" t="str">
        <f t="shared" si="4"/>
        <v>B+ (Good+)</v>
      </c>
    </row>
    <row r="9" spans="1:21">
      <c r="A9" s="1">
        <v>5</v>
      </c>
      <c r="B9" s="1">
        <v>1</v>
      </c>
      <c r="C9" s="1">
        <v>1</v>
      </c>
      <c r="D9" s="1">
        <v>1</v>
      </c>
      <c r="E9" s="1">
        <v>450</v>
      </c>
      <c r="F9" s="1">
        <v>19</v>
      </c>
      <c r="G9" s="1">
        <v>15</v>
      </c>
      <c r="H9" s="1">
        <f t="shared" si="0"/>
        <v>2.9444389791664403</v>
      </c>
      <c r="I9" s="1">
        <f t="shared" si="1"/>
        <v>2.7080502011022101</v>
      </c>
      <c r="J9" s="1">
        <v>0</v>
      </c>
      <c r="K9" s="1">
        <v>0</v>
      </c>
      <c r="L9" s="1">
        <v>0</v>
      </c>
      <c r="M9" s="1">
        <v>0</v>
      </c>
      <c r="N9" s="1">
        <f t="shared" si="2"/>
        <v>0</v>
      </c>
      <c r="O9" s="2">
        <f t="shared" si="3"/>
        <v>100</v>
      </c>
      <c r="P9" s="2">
        <f>IF(COUNT(C9:M9)=0,0, (AVERAGE(C9:D9)) / (1 + SUM(J9:M9))
)</f>
        <v>1</v>
      </c>
      <c r="Q9" s="2">
        <f>SUS!$M9</f>
        <v>90</v>
      </c>
      <c r="R9" s="2" t="str">
        <f t="shared" si="4"/>
        <v>A+ (Outstanding)</v>
      </c>
    </row>
    <row r="10" spans="1:21">
      <c r="A10" s="1">
        <v>6</v>
      </c>
      <c r="B10" s="1">
        <v>1</v>
      </c>
      <c r="C10" s="1">
        <v>1</v>
      </c>
      <c r="D10" s="1">
        <v>1</v>
      </c>
      <c r="E10" s="1">
        <v>543</v>
      </c>
      <c r="F10" s="1">
        <v>2</v>
      </c>
      <c r="G10" s="1">
        <v>2</v>
      </c>
      <c r="H10" s="1">
        <f t="shared" si="0"/>
        <v>0.69314718055994529</v>
      </c>
      <c r="I10" s="1">
        <f t="shared" si="1"/>
        <v>0.69314718055994529</v>
      </c>
      <c r="J10" s="1">
        <v>1</v>
      </c>
      <c r="K10" s="1">
        <v>1</v>
      </c>
      <c r="L10" s="1">
        <v>1</v>
      </c>
      <c r="M10" s="1">
        <v>0</v>
      </c>
      <c r="N10" s="1">
        <f t="shared" si="2"/>
        <v>1</v>
      </c>
      <c r="O10" s="2">
        <f t="shared" si="3"/>
        <v>100</v>
      </c>
      <c r="P10" s="2">
        <f t="shared" ref="P10:P35" si="5">IF(COUNT(C10:M10)=0,0,
 (AVERAGE(C10:D10)) / (1 + SUM(J10:M10))
)</f>
        <v>0.25</v>
      </c>
      <c r="Q10" s="2">
        <f>SUS!$M10</f>
        <v>82.5</v>
      </c>
      <c r="R10" s="2" t="str">
        <f t="shared" si="4"/>
        <v>A (Excellent)</v>
      </c>
    </row>
    <row r="11" spans="1:21">
      <c r="A11" s="1">
        <v>7</v>
      </c>
      <c r="B11" s="1">
        <v>1</v>
      </c>
      <c r="C11" s="1">
        <v>1</v>
      </c>
      <c r="D11" s="1">
        <v>1</v>
      </c>
      <c r="E11" s="1">
        <v>600</v>
      </c>
      <c r="F11" s="1">
        <v>50</v>
      </c>
      <c r="G11" s="1">
        <v>40</v>
      </c>
      <c r="H11" s="1">
        <f t="shared" si="0"/>
        <v>3.912023005428146</v>
      </c>
      <c r="I11" s="1">
        <f t="shared" si="1"/>
        <v>3.6888794541139363</v>
      </c>
      <c r="J11" s="1">
        <v>1</v>
      </c>
      <c r="K11" s="1">
        <v>0</v>
      </c>
      <c r="L11" s="1">
        <v>0</v>
      </c>
      <c r="M11" s="1">
        <v>0</v>
      </c>
      <c r="N11" s="1">
        <f t="shared" si="2"/>
        <v>0.5</v>
      </c>
      <c r="O11" s="2">
        <f t="shared" si="3"/>
        <v>100</v>
      </c>
      <c r="P11" s="2">
        <f t="shared" si="5"/>
        <v>0.5</v>
      </c>
      <c r="Q11" s="2">
        <f>SUS!$M11</f>
        <v>37.5</v>
      </c>
      <c r="R11" s="2" t="str">
        <f t="shared" si="4"/>
        <v>F (Poor)</v>
      </c>
    </row>
    <row r="12" spans="1:21">
      <c r="A12" s="1">
        <v>8</v>
      </c>
      <c r="B12" s="1">
        <v>1</v>
      </c>
      <c r="C12" s="1">
        <v>1</v>
      </c>
      <c r="D12" s="1">
        <v>1</v>
      </c>
      <c r="E12" s="1">
        <v>240</v>
      </c>
      <c r="F12" s="1">
        <v>20</v>
      </c>
      <c r="G12" s="1">
        <v>20</v>
      </c>
      <c r="H12" s="1">
        <f t="shared" si="0"/>
        <v>2.9957322735539909</v>
      </c>
      <c r="I12" s="1">
        <f t="shared" si="1"/>
        <v>2.9957322735539909</v>
      </c>
      <c r="J12" s="1">
        <v>0</v>
      </c>
      <c r="K12" s="1">
        <v>0</v>
      </c>
      <c r="L12" s="1">
        <v>0</v>
      </c>
      <c r="M12" s="1">
        <v>0</v>
      </c>
      <c r="N12" s="1">
        <f t="shared" si="2"/>
        <v>0</v>
      </c>
      <c r="O12" s="2">
        <f t="shared" si="3"/>
        <v>100</v>
      </c>
      <c r="P12" s="2">
        <f t="shared" si="5"/>
        <v>1</v>
      </c>
      <c r="Q12" s="2">
        <f>SUS!$M12</f>
        <v>92.5</v>
      </c>
      <c r="R12" s="2" t="str">
        <f t="shared" si="4"/>
        <v>A+ (Outstanding)</v>
      </c>
    </row>
    <row r="13" spans="1:21">
      <c r="A13" s="1">
        <v>9</v>
      </c>
      <c r="B13" s="1">
        <v>1</v>
      </c>
      <c r="C13" s="1">
        <v>1</v>
      </c>
      <c r="D13" s="1">
        <v>1</v>
      </c>
      <c r="E13" s="1">
        <v>180</v>
      </c>
      <c r="F13" s="1">
        <v>70</v>
      </c>
      <c r="G13" s="1">
        <v>40</v>
      </c>
      <c r="H13" s="1">
        <f t="shared" si="0"/>
        <v>4.2484952420493594</v>
      </c>
      <c r="I13" s="1">
        <f t="shared" si="1"/>
        <v>3.6888794541139363</v>
      </c>
      <c r="J13" s="1">
        <v>0</v>
      </c>
      <c r="K13" s="1">
        <v>0</v>
      </c>
      <c r="L13" s="1">
        <v>0</v>
      </c>
      <c r="M13" s="1">
        <v>0</v>
      </c>
      <c r="N13" s="1">
        <f t="shared" si="2"/>
        <v>0</v>
      </c>
      <c r="O13" s="2">
        <f t="shared" si="3"/>
        <v>100</v>
      </c>
      <c r="P13" s="2">
        <f t="shared" si="5"/>
        <v>1</v>
      </c>
      <c r="Q13" s="2">
        <f>SUS!$M13</f>
        <v>72.5</v>
      </c>
      <c r="R13" s="2" t="str">
        <f t="shared" si="4"/>
        <v>B- (Good)</v>
      </c>
    </row>
    <row r="14" spans="1:21">
      <c r="A14" s="1">
        <v>10</v>
      </c>
      <c r="B14" s="1">
        <v>1</v>
      </c>
      <c r="C14" s="1">
        <v>1</v>
      </c>
      <c r="D14" s="1">
        <v>1</v>
      </c>
      <c r="E14" s="1">
        <v>476</v>
      </c>
      <c r="F14" s="1">
        <v>70</v>
      </c>
      <c r="G14" s="1">
        <v>33</v>
      </c>
      <c r="H14" s="1">
        <f t="shared" si="0"/>
        <v>4.2484952420493594</v>
      </c>
      <c r="I14" s="1">
        <f t="shared" si="1"/>
        <v>3.4965075614664802</v>
      </c>
      <c r="J14" s="1">
        <v>0</v>
      </c>
      <c r="K14" s="1">
        <v>0</v>
      </c>
      <c r="L14" s="1">
        <v>0</v>
      </c>
      <c r="M14" s="1">
        <v>0</v>
      </c>
      <c r="N14" s="1">
        <f t="shared" si="2"/>
        <v>0</v>
      </c>
      <c r="O14" s="2">
        <f t="shared" si="3"/>
        <v>100</v>
      </c>
      <c r="P14" s="2">
        <f t="shared" si="5"/>
        <v>1</v>
      </c>
      <c r="Q14" s="2">
        <f>SUS!$M14</f>
        <v>95</v>
      </c>
      <c r="R14" s="2" t="str">
        <f t="shared" si="4"/>
        <v>A+ (Outstanding)</v>
      </c>
    </row>
    <row r="15" spans="1:21">
      <c r="A15" s="1">
        <v>11</v>
      </c>
      <c r="B15" s="1">
        <v>1</v>
      </c>
      <c r="C15" s="1">
        <v>1</v>
      </c>
      <c r="D15" s="1">
        <v>1</v>
      </c>
      <c r="E15" s="1">
        <v>447</v>
      </c>
      <c r="F15" s="1">
        <v>55</v>
      </c>
      <c r="G15" s="1">
        <v>40</v>
      </c>
      <c r="H15" s="1">
        <f t="shared" si="0"/>
        <v>4.0073331852324712</v>
      </c>
      <c r="I15" s="1">
        <f t="shared" si="1"/>
        <v>3.6888794541139363</v>
      </c>
      <c r="J15" s="1">
        <v>0</v>
      </c>
      <c r="K15" s="1">
        <v>0</v>
      </c>
      <c r="L15" s="1">
        <v>0</v>
      </c>
      <c r="M15" s="1">
        <v>0</v>
      </c>
      <c r="N15" s="1">
        <f t="shared" si="2"/>
        <v>0</v>
      </c>
      <c r="O15" s="2">
        <f t="shared" si="3"/>
        <v>100</v>
      </c>
      <c r="P15" s="2">
        <f t="shared" si="5"/>
        <v>1</v>
      </c>
      <c r="Q15" s="2">
        <f>SUS!$M15</f>
        <v>95</v>
      </c>
      <c r="R15" s="2" t="str">
        <f t="shared" si="4"/>
        <v>A+ (Outstanding)</v>
      </c>
    </row>
    <row r="16" spans="1:21">
      <c r="A16" s="1">
        <v>12</v>
      </c>
      <c r="B16" s="1">
        <v>1</v>
      </c>
      <c r="C16" s="1">
        <v>1</v>
      </c>
      <c r="D16" s="1">
        <v>1</v>
      </c>
      <c r="E16" s="1">
        <v>390</v>
      </c>
      <c r="F16" s="1">
        <v>34</v>
      </c>
      <c r="G16" s="1">
        <v>39</v>
      </c>
      <c r="H16" s="1">
        <f t="shared" si="0"/>
        <v>3.5263605246161616</v>
      </c>
      <c r="I16" s="1">
        <f t="shared" si="1"/>
        <v>3.6635616461296463</v>
      </c>
      <c r="J16" s="1">
        <v>0</v>
      </c>
      <c r="K16" s="1">
        <v>0</v>
      </c>
      <c r="L16" s="1">
        <v>1</v>
      </c>
      <c r="M16" s="1">
        <v>1</v>
      </c>
      <c r="N16" s="1">
        <f t="shared" si="2"/>
        <v>0</v>
      </c>
      <c r="O16" s="2">
        <f t="shared" si="3"/>
        <v>100</v>
      </c>
      <c r="P16" s="2">
        <f t="shared" si="5"/>
        <v>0.33333333333333331</v>
      </c>
      <c r="Q16" s="2">
        <f>SUS!$M16</f>
        <v>85</v>
      </c>
      <c r="R16" s="2" t="str">
        <f t="shared" si="4"/>
        <v>A+ (Outstanding)</v>
      </c>
    </row>
    <row r="17" spans="1:18">
      <c r="A17" s="1">
        <v>13</v>
      </c>
      <c r="B17" s="1">
        <v>1</v>
      </c>
      <c r="C17" s="1">
        <v>1</v>
      </c>
      <c r="D17" s="1">
        <v>1</v>
      </c>
      <c r="E17" s="1">
        <v>450</v>
      </c>
      <c r="F17" s="1">
        <v>73</v>
      </c>
      <c r="G17" s="1">
        <v>101</v>
      </c>
      <c r="H17" s="1">
        <f t="shared" si="0"/>
        <v>4.290459441148391</v>
      </c>
      <c r="I17" s="1">
        <f t="shared" si="1"/>
        <v>4.6151205168412597</v>
      </c>
      <c r="J17" s="1">
        <v>1</v>
      </c>
      <c r="K17" s="1">
        <v>2</v>
      </c>
      <c r="L17" s="1">
        <v>0</v>
      </c>
      <c r="M17" s="1">
        <v>0</v>
      </c>
      <c r="N17" s="1">
        <f t="shared" si="2"/>
        <v>1.5</v>
      </c>
      <c r="O17" s="2">
        <f t="shared" si="3"/>
        <v>100</v>
      </c>
      <c r="P17" s="2">
        <f t="shared" si="5"/>
        <v>0.25</v>
      </c>
      <c r="Q17" s="2">
        <f>SUS!$M17</f>
        <v>80</v>
      </c>
      <c r="R17" s="2" t="str">
        <f t="shared" si="4"/>
        <v>A- (Very Good)</v>
      </c>
    </row>
    <row r="18" spans="1:18">
      <c r="A18" s="1">
        <v>14</v>
      </c>
      <c r="B18" s="1">
        <v>1</v>
      </c>
      <c r="C18" s="1">
        <v>1</v>
      </c>
      <c r="D18" s="1">
        <v>1</v>
      </c>
      <c r="E18" s="1">
        <v>476</v>
      </c>
      <c r="F18" s="1">
        <v>14</v>
      </c>
      <c r="G18" s="1">
        <v>11</v>
      </c>
      <c r="H18" s="1">
        <f t="shared" si="0"/>
        <v>2.6390573296152584</v>
      </c>
      <c r="I18" s="1">
        <f t="shared" si="1"/>
        <v>2.3978952727983707</v>
      </c>
      <c r="J18" s="1">
        <v>0</v>
      </c>
      <c r="K18" s="1">
        <v>0</v>
      </c>
      <c r="L18" s="1">
        <v>0</v>
      </c>
      <c r="M18" s="1">
        <v>0</v>
      </c>
      <c r="N18" s="1">
        <f t="shared" si="2"/>
        <v>0</v>
      </c>
      <c r="O18" s="2">
        <f t="shared" si="3"/>
        <v>100</v>
      </c>
      <c r="P18" s="2">
        <f t="shared" si="5"/>
        <v>1</v>
      </c>
      <c r="Q18" s="2">
        <f>SUS!$M18</f>
        <v>87.5</v>
      </c>
      <c r="R18" s="2" t="str">
        <f t="shared" si="4"/>
        <v>A+ (Outstanding)</v>
      </c>
    </row>
    <row r="19" spans="1:18">
      <c r="A19" s="1">
        <v>15</v>
      </c>
      <c r="B19" s="1">
        <v>1</v>
      </c>
      <c r="C19" s="1">
        <v>1</v>
      </c>
      <c r="D19" s="1">
        <v>1</v>
      </c>
      <c r="E19" s="1">
        <v>108</v>
      </c>
      <c r="F19" s="1">
        <v>63</v>
      </c>
      <c r="G19" s="1">
        <v>132</v>
      </c>
      <c r="H19" s="1">
        <f t="shared" si="0"/>
        <v>4.1431347263915326</v>
      </c>
      <c r="I19" s="1">
        <f t="shared" si="1"/>
        <v>4.8828019225863706</v>
      </c>
      <c r="J19" s="1">
        <v>0</v>
      </c>
      <c r="K19" s="1">
        <v>0</v>
      </c>
      <c r="L19" s="1">
        <v>0</v>
      </c>
      <c r="M19" s="1">
        <v>0</v>
      </c>
      <c r="N19" s="1">
        <f t="shared" si="2"/>
        <v>0</v>
      </c>
      <c r="O19" s="2">
        <f t="shared" si="3"/>
        <v>100</v>
      </c>
      <c r="P19" s="2">
        <f t="shared" si="5"/>
        <v>1</v>
      </c>
      <c r="Q19" s="2">
        <f>SUS!$M19</f>
        <v>85</v>
      </c>
      <c r="R19" s="2" t="str">
        <f t="shared" si="4"/>
        <v>A+ (Outstanding)</v>
      </c>
    </row>
    <row r="20" spans="1:18">
      <c r="A20" s="1">
        <v>16</v>
      </c>
      <c r="B20" s="1">
        <v>1</v>
      </c>
      <c r="C20" s="1">
        <v>1</v>
      </c>
      <c r="D20" s="1">
        <v>1</v>
      </c>
      <c r="E20" s="1">
        <v>180</v>
      </c>
      <c r="F20" s="1">
        <v>5</v>
      </c>
      <c r="G20" s="1">
        <v>5</v>
      </c>
      <c r="H20" s="1">
        <f t="shared" si="0"/>
        <v>1.6094379124341003</v>
      </c>
      <c r="I20" s="1">
        <f t="shared" si="1"/>
        <v>1.6094379124341003</v>
      </c>
      <c r="J20" s="1">
        <v>0</v>
      </c>
      <c r="K20" s="1">
        <v>0</v>
      </c>
      <c r="L20" s="1">
        <v>0</v>
      </c>
      <c r="M20" s="1">
        <v>0</v>
      </c>
      <c r="N20" s="1">
        <f t="shared" si="2"/>
        <v>0</v>
      </c>
      <c r="O20" s="2">
        <f t="shared" si="3"/>
        <v>100</v>
      </c>
      <c r="P20" s="2">
        <f t="shared" si="5"/>
        <v>1</v>
      </c>
      <c r="Q20" s="2">
        <f>SUS!$M20</f>
        <v>90</v>
      </c>
      <c r="R20" s="2" t="str">
        <f t="shared" si="4"/>
        <v>A+ (Outstanding)</v>
      </c>
    </row>
    <row r="21" spans="1:18">
      <c r="A21" s="1">
        <v>17</v>
      </c>
      <c r="B21" s="1">
        <v>1</v>
      </c>
      <c r="C21" s="1">
        <v>1</v>
      </c>
      <c r="D21" s="1">
        <v>1</v>
      </c>
      <c r="E21" s="1">
        <v>654</v>
      </c>
      <c r="F21" s="1">
        <v>34</v>
      </c>
      <c r="G21" s="1">
        <v>27</v>
      </c>
      <c r="H21" s="1">
        <f t="shared" si="0"/>
        <v>3.5263605246161616</v>
      </c>
      <c r="I21" s="1">
        <f t="shared" si="1"/>
        <v>3.2958368660043291</v>
      </c>
      <c r="J21" s="1">
        <v>0</v>
      </c>
      <c r="K21" s="1">
        <v>0</v>
      </c>
      <c r="L21" s="1">
        <v>0</v>
      </c>
      <c r="M21" s="1">
        <v>0</v>
      </c>
      <c r="N21" s="1">
        <f t="shared" si="2"/>
        <v>0</v>
      </c>
      <c r="O21" s="2">
        <f t="shared" si="3"/>
        <v>100</v>
      </c>
      <c r="P21" s="2">
        <f t="shared" si="5"/>
        <v>1</v>
      </c>
      <c r="Q21" s="2">
        <f>SUS!$M21</f>
        <v>65</v>
      </c>
      <c r="R21" s="2" t="str">
        <f t="shared" si="4"/>
        <v>C (Average)</v>
      </c>
    </row>
    <row r="22" spans="1:18">
      <c r="A22" s="1">
        <v>18</v>
      </c>
      <c r="B22" s="1">
        <v>1</v>
      </c>
      <c r="C22" s="1">
        <v>1</v>
      </c>
      <c r="D22" s="1">
        <v>1</v>
      </c>
      <c r="E22" s="1">
        <v>720</v>
      </c>
      <c r="F22" s="1">
        <v>240</v>
      </c>
      <c r="G22" s="1">
        <v>180</v>
      </c>
      <c r="H22" s="1">
        <f t="shared" si="0"/>
        <v>5.4806389233419912</v>
      </c>
      <c r="I22" s="1">
        <f t="shared" si="1"/>
        <v>5.1929568508902104</v>
      </c>
      <c r="J22" s="1">
        <v>0</v>
      </c>
      <c r="K22" s="1">
        <v>0</v>
      </c>
      <c r="L22" s="1">
        <v>0</v>
      </c>
      <c r="M22" s="1">
        <v>0</v>
      </c>
      <c r="N22" s="1">
        <f t="shared" si="2"/>
        <v>0</v>
      </c>
      <c r="O22" s="2">
        <f t="shared" si="3"/>
        <v>100</v>
      </c>
      <c r="P22" s="2">
        <f t="shared" si="5"/>
        <v>1</v>
      </c>
      <c r="Q22" s="2">
        <f>SUS!$M22</f>
        <v>95</v>
      </c>
      <c r="R22" s="2" t="str">
        <f t="shared" si="4"/>
        <v>A+ (Outstanding)</v>
      </c>
    </row>
    <row r="23" spans="1:18">
      <c r="A23" s="1">
        <v>19</v>
      </c>
      <c r="B23" s="1">
        <v>1</v>
      </c>
      <c r="C23" s="1">
        <v>1</v>
      </c>
      <c r="D23" s="1">
        <v>1</v>
      </c>
      <c r="E23" s="1">
        <v>244</v>
      </c>
      <c r="F23" s="1">
        <v>20</v>
      </c>
      <c r="G23" s="1">
        <v>15</v>
      </c>
      <c r="H23" s="1">
        <f t="shared" si="0"/>
        <v>2.9957322735539909</v>
      </c>
      <c r="I23" s="1">
        <f t="shared" si="1"/>
        <v>2.7080502011022101</v>
      </c>
      <c r="J23" s="1">
        <v>0</v>
      </c>
      <c r="K23" s="1">
        <v>0</v>
      </c>
      <c r="L23" s="1">
        <v>0</v>
      </c>
      <c r="M23" s="1">
        <v>0</v>
      </c>
      <c r="N23" s="1">
        <f t="shared" si="2"/>
        <v>0</v>
      </c>
      <c r="O23" s="2">
        <f t="shared" si="3"/>
        <v>100</v>
      </c>
      <c r="P23" s="2">
        <f t="shared" si="5"/>
        <v>1</v>
      </c>
      <c r="Q23" s="2">
        <f>SUS!$M23</f>
        <v>95</v>
      </c>
      <c r="R23" s="2" t="str">
        <f t="shared" si="4"/>
        <v>A+ (Outstanding)</v>
      </c>
    </row>
    <row r="24" spans="1:18">
      <c r="A24" s="1">
        <v>20</v>
      </c>
      <c r="B24" s="1">
        <v>1</v>
      </c>
      <c r="C24" s="1">
        <v>1</v>
      </c>
      <c r="D24" s="1">
        <v>1</v>
      </c>
      <c r="E24" s="1">
        <v>300</v>
      </c>
      <c r="F24" s="1">
        <v>120</v>
      </c>
      <c r="G24" s="1">
        <v>120</v>
      </c>
      <c r="H24" s="1">
        <f t="shared" si="0"/>
        <v>4.7874917427820458</v>
      </c>
      <c r="I24" s="1">
        <f t="shared" si="1"/>
        <v>4.7874917427820458</v>
      </c>
      <c r="J24" s="1">
        <v>0</v>
      </c>
      <c r="K24" s="1">
        <v>0</v>
      </c>
      <c r="L24" s="1">
        <v>0</v>
      </c>
      <c r="M24" s="1">
        <v>0</v>
      </c>
      <c r="N24" s="1">
        <f t="shared" si="2"/>
        <v>0</v>
      </c>
      <c r="O24" s="2">
        <f t="shared" si="3"/>
        <v>100</v>
      </c>
      <c r="P24" s="2">
        <f t="shared" si="5"/>
        <v>1</v>
      </c>
      <c r="Q24" s="2">
        <f>SUS!$M24</f>
        <v>87.5</v>
      </c>
      <c r="R24" s="2" t="str">
        <f t="shared" si="4"/>
        <v>A+ (Outstanding)</v>
      </c>
    </row>
    <row r="25" spans="1:18">
      <c r="A25" s="1">
        <v>21</v>
      </c>
      <c r="B25" s="1">
        <v>1</v>
      </c>
      <c r="C25" s="1">
        <v>1</v>
      </c>
      <c r="D25" s="1">
        <v>1</v>
      </c>
      <c r="E25" s="1">
        <v>460</v>
      </c>
      <c r="F25" s="1">
        <v>16</v>
      </c>
      <c r="G25" s="1">
        <v>12</v>
      </c>
      <c r="H25" s="1">
        <f t="shared" si="0"/>
        <v>2.7725887222397811</v>
      </c>
      <c r="I25" s="1">
        <f t="shared" si="1"/>
        <v>2.4849066497880004</v>
      </c>
      <c r="J25" s="1">
        <v>0</v>
      </c>
      <c r="K25" s="1">
        <v>0</v>
      </c>
      <c r="L25" s="1">
        <v>0</v>
      </c>
      <c r="M25" s="1">
        <v>0</v>
      </c>
      <c r="N25" s="1">
        <f t="shared" si="2"/>
        <v>0</v>
      </c>
      <c r="O25" s="2">
        <f t="shared" si="3"/>
        <v>100</v>
      </c>
      <c r="P25" s="2">
        <f t="shared" si="5"/>
        <v>1</v>
      </c>
      <c r="Q25" s="2">
        <f>SUS!$M25</f>
        <v>77.5</v>
      </c>
      <c r="R25" s="2" t="str">
        <f t="shared" si="4"/>
        <v>B+ (Good+)</v>
      </c>
    </row>
    <row r="26" spans="1:18">
      <c r="A26" s="1">
        <v>22</v>
      </c>
      <c r="B26" s="1">
        <v>1</v>
      </c>
      <c r="C26" s="1">
        <v>1</v>
      </c>
      <c r="D26" s="1">
        <v>1</v>
      </c>
      <c r="E26" s="1">
        <v>194</v>
      </c>
      <c r="F26" s="1">
        <v>6</v>
      </c>
      <c r="G26" s="1">
        <v>5</v>
      </c>
      <c r="H26" s="1">
        <f t="shared" si="0"/>
        <v>1.791759469228055</v>
      </c>
      <c r="I26" s="1">
        <f t="shared" si="1"/>
        <v>1.6094379124341003</v>
      </c>
      <c r="J26" s="1">
        <v>0</v>
      </c>
      <c r="K26" s="1">
        <v>0</v>
      </c>
      <c r="L26" s="1">
        <v>0</v>
      </c>
      <c r="M26" s="1">
        <v>0</v>
      </c>
      <c r="N26" s="1">
        <f t="shared" si="2"/>
        <v>0</v>
      </c>
      <c r="O26" s="2">
        <f t="shared" si="3"/>
        <v>100</v>
      </c>
      <c r="P26" s="2">
        <f t="shared" si="5"/>
        <v>1</v>
      </c>
      <c r="Q26" s="2">
        <f>SUS!$M26</f>
        <v>95</v>
      </c>
      <c r="R26" s="2" t="str">
        <f t="shared" si="4"/>
        <v>A+ (Outstanding)</v>
      </c>
    </row>
    <row r="27" spans="1:18">
      <c r="A27" s="1">
        <v>23</v>
      </c>
      <c r="B27" s="1">
        <v>1</v>
      </c>
      <c r="C27" s="1">
        <v>1</v>
      </c>
      <c r="D27" s="1">
        <v>1</v>
      </c>
      <c r="E27" s="1">
        <v>514</v>
      </c>
      <c r="F27" s="1">
        <v>135</v>
      </c>
      <c r="G27" s="1">
        <v>79</v>
      </c>
      <c r="H27" s="1">
        <f t="shared" si="0"/>
        <v>4.9052747784384296</v>
      </c>
      <c r="I27" s="1">
        <f t="shared" si="1"/>
        <v>4.3694478524670215</v>
      </c>
      <c r="J27" s="1">
        <v>1</v>
      </c>
      <c r="K27" s="1">
        <v>1</v>
      </c>
      <c r="L27" s="1">
        <v>0</v>
      </c>
      <c r="M27" s="1">
        <v>0</v>
      </c>
      <c r="N27" s="1">
        <f t="shared" si="2"/>
        <v>1</v>
      </c>
      <c r="O27" s="2">
        <f t="shared" si="3"/>
        <v>100</v>
      </c>
      <c r="P27" s="2">
        <f t="shared" si="5"/>
        <v>0.33333333333333331</v>
      </c>
      <c r="Q27" s="2">
        <f>SUS!$M27</f>
        <v>77.5</v>
      </c>
      <c r="R27" s="2" t="str">
        <f t="shared" si="4"/>
        <v>B+ (Good+)</v>
      </c>
    </row>
    <row r="28" spans="1:18">
      <c r="A28" s="1">
        <v>24</v>
      </c>
      <c r="B28" s="1">
        <v>1</v>
      </c>
      <c r="C28" s="1">
        <v>1</v>
      </c>
      <c r="D28" s="1">
        <v>1</v>
      </c>
      <c r="E28" s="1">
        <v>553</v>
      </c>
      <c r="F28" s="1">
        <v>10</v>
      </c>
      <c r="G28" s="1">
        <v>7</v>
      </c>
      <c r="H28" s="1">
        <f t="shared" si="0"/>
        <v>2.3025850929940459</v>
      </c>
      <c r="I28" s="1">
        <f t="shared" si="1"/>
        <v>1.9459101490553132</v>
      </c>
      <c r="J28" s="1">
        <v>0</v>
      </c>
      <c r="K28" s="1">
        <v>0</v>
      </c>
      <c r="L28" s="1">
        <v>0</v>
      </c>
      <c r="M28" s="1">
        <v>0</v>
      </c>
      <c r="N28" s="1">
        <f t="shared" si="2"/>
        <v>0</v>
      </c>
      <c r="O28" s="2">
        <f t="shared" si="3"/>
        <v>100</v>
      </c>
      <c r="P28" s="2">
        <f t="shared" si="5"/>
        <v>1</v>
      </c>
      <c r="Q28" s="2">
        <f>SUS!$M28</f>
        <v>90</v>
      </c>
      <c r="R28" s="2" t="str">
        <f t="shared" si="4"/>
        <v>A+ (Outstanding)</v>
      </c>
    </row>
    <row r="29" spans="1:18">
      <c r="A29" s="1">
        <v>25</v>
      </c>
      <c r="B29" s="1">
        <v>1</v>
      </c>
      <c r="C29" s="1">
        <v>1</v>
      </c>
      <c r="D29" s="1">
        <v>1</v>
      </c>
      <c r="E29" s="1">
        <v>433</v>
      </c>
      <c r="F29" s="1">
        <v>93</v>
      </c>
      <c r="G29" s="1">
        <v>25</v>
      </c>
      <c r="H29" s="1">
        <f t="shared" si="0"/>
        <v>4.5325994931532563</v>
      </c>
      <c r="I29" s="1">
        <f t="shared" si="1"/>
        <v>3.2188758248682006</v>
      </c>
      <c r="J29" s="1">
        <v>0</v>
      </c>
      <c r="K29" s="1">
        <v>0</v>
      </c>
      <c r="L29" s="1">
        <v>0</v>
      </c>
      <c r="M29" s="1">
        <v>0</v>
      </c>
      <c r="N29" s="1">
        <f t="shared" si="2"/>
        <v>0</v>
      </c>
      <c r="O29" s="2">
        <f t="shared" si="3"/>
        <v>100</v>
      </c>
      <c r="P29" s="2">
        <f t="shared" si="5"/>
        <v>1</v>
      </c>
      <c r="Q29" s="2">
        <f>SUS!$M29</f>
        <v>82.5</v>
      </c>
      <c r="R29" s="2" t="str">
        <f t="shared" si="4"/>
        <v>A (Excellent)</v>
      </c>
    </row>
    <row r="30" spans="1:18">
      <c r="A30" s="1">
        <v>26</v>
      </c>
      <c r="B30" s="1">
        <v>1</v>
      </c>
      <c r="C30" s="1">
        <v>1</v>
      </c>
      <c r="D30" s="1">
        <v>1</v>
      </c>
      <c r="E30" s="1">
        <v>187</v>
      </c>
      <c r="F30" s="1">
        <v>20</v>
      </c>
      <c r="G30" s="1">
        <v>15</v>
      </c>
      <c r="H30" s="1">
        <f t="shared" si="0"/>
        <v>2.9957322735539909</v>
      </c>
      <c r="I30" s="1">
        <f t="shared" si="1"/>
        <v>2.7080502011022101</v>
      </c>
      <c r="J30" s="1">
        <v>1</v>
      </c>
      <c r="K30" s="1">
        <v>1</v>
      </c>
      <c r="L30" s="1">
        <v>3</v>
      </c>
      <c r="M30" s="1">
        <v>1</v>
      </c>
      <c r="N30" s="1">
        <f t="shared" si="2"/>
        <v>1</v>
      </c>
      <c r="O30" s="2">
        <f t="shared" si="3"/>
        <v>100</v>
      </c>
      <c r="P30" s="2">
        <f t="shared" si="5"/>
        <v>0.14285714285714285</v>
      </c>
      <c r="Q30" s="2">
        <f>SUS!$M30</f>
        <v>65</v>
      </c>
      <c r="R30" s="2" t="str">
        <f t="shared" si="4"/>
        <v>C (Average)</v>
      </c>
    </row>
    <row r="31" spans="1:18">
      <c r="A31" s="1">
        <v>27</v>
      </c>
      <c r="B31" s="1">
        <v>1</v>
      </c>
      <c r="C31" s="1">
        <v>1</v>
      </c>
      <c r="D31" s="1">
        <v>1</v>
      </c>
      <c r="E31" s="1">
        <v>203</v>
      </c>
      <c r="F31" s="1">
        <v>154</v>
      </c>
      <c r="G31" s="1">
        <v>56</v>
      </c>
      <c r="H31" s="1">
        <f t="shared" si="0"/>
        <v>5.0369526024136295</v>
      </c>
      <c r="I31" s="1">
        <f t="shared" si="1"/>
        <v>4.0253516907351496</v>
      </c>
      <c r="J31" s="1">
        <v>1</v>
      </c>
      <c r="K31" s="1">
        <v>0</v>
      </c>
      <c r="L31" s="1">
        <v>1</v>
      </c>
      <c r="M31" s="1">
        <v>0</v>
      </c>
      <c r="N31" s="1">
        <f t="shared" si="2"/>
        <v>0.5</v>
      </c>
      <c r="O31" s="2">
        <f t="shared" si="3"/>
        <v>100</v>
      </c>
      <c r="P31" s="2">
        <f t="shared" si="5"/>
        <v>0.33333333333333331</v>
      </c>
      <c r="Q31" s="2">
        <f>SUS!$M31</f>
        <v>65</v>
      </c>
      <c r="R31" s="2" t="str">
        <f t="shared" si="4"/>
        <v>C (Average)</v>
      </c>
    </row>
    <row r="32" spans="1:18">
      <c r="A32" s="1">
        <v>28</v>
      </c>
      <c r="B32" s="1">
        <v>2</v>
      </c>
      <c r="C32" s="1">
        <v>1</v>
      </c>
      <c r="D32" s="1">
        <v>1</v>
      </c>
      <c r="E32" s="1">
        <v>565</v>
      </c>
      <c r="F32" s="1">
        <v>120</v>
      </c>
      <c r="G32" s="1">
        <v>10</v>
      </c>
      <c r="H32" s="1">
        <f t="shared" si="0"/>
        <v>4.7874917427820458</v>
      </c>
      <c r="I32" s="1">
        <f t="shared" si="1"/>
        <v>2.3025850929940459</v>
      </c>
      <c r="J32" s="1">
        <v>1</v>
      </c>
      <c r="K32" s="1">
        <v>0</v>
      </c>
      <c r="L32" s="1">
        <v>1</v>
      </c>
      <c r="M32" s="1">
        <v>0</v>
      </c>
      <c r="N32" s="1">
        <f t="shared" si="2"/>
        <v>0.5</v>
      </c>
      <c r="O32" s="2">
        <f t="shared" si="3"/>
        <v>100</v>
      </c>
      <c r="P32" s="2">
        <f t="shared" si="5"/>
        <v>0.33333333333333331</v>
      </c>
      <c r="Q32" s="2">
        <f>SUS!$M32</f>
        <v>45</v>
      </c>
      <c r="R32" s="2" t="str">
        <f t="shared" si="4"/>
        <v>F (Poor)</v>
      </c>
    </row>
    <row r="33" spans="1:18">
      <c r="A33" s="1">
        <v>29</v>
      </c>
      <c r="B33" s="1">
        <v>1</v>
      </c>
      <c r="C33" s="1">
        <v>1</v>
      </c>
      <c r="D33" s="1">
        <v>1</v>
      </c>
      <c r="E33" s="1">
        <v>270</v>
      </c>
      <c r="F33" s="1">
        <v>120</v>
      </c>
      <c r="G33" s="1">
        <v>30</v>
      </c>
      <c r="H33" s="1">
        <f t="shared" si="0"/>
        <v>4.7874917427820458</v>
      </c>
      <c r="I33" s="1">
        <f t="shared" si="1"/>
        <v>3.4011973816621555</v>
      </c>
      <c r="J33" s="1">
        <v>1</v>
      </c>
      <c r="K33" s="1">
        <v>0</v>
      </c>
      <c r="L33" s="1">
        <v>0</v>
      </c>
      <c r="M33" s="1">
        <v>0</v>
      </c>
      <c r="N33" s="1">
        <f t="shared" si="2"/>
        <v>0.5</v>
      </c>
      <c r="O33" s="2">
        <f t="shared" si="3"/>
        <v>100</v>
      </c>
      <c r="P33" s="2">
        <f t="shared" si="5"/>
        <v>0.5</v>
      </c>
      <c r="Q33" s="2">
        <f>SUS!$M33</f>
        <v>87.5</v>
      </c>
      <c r="R33" s="2" t="str">
        <f t="shared" si="4"/>
        <v>A+ (Outstanding)</v>
      </c>
    </row>
    <row r="34" spans="1:18">
      <c r="A34" s="1">
        <v>30</v>
      </c>
      <c r="B34" s="1">
        <v>1</v>
      </c>
      <c r="C34" s="1">
        <v>1</v>
      </c>
      <c r="D34" s="1">
        <v>1</v>
      </c>
      <c r="E34" s="1">
        <v>572</v>
      </c>
      <c r="F34" s="1">
        <v>30</v>
      </c>
      <c r="G34" s="1">
        <v>17</v>
      </c>
      <c r="H34" s="1">
        <f t="shared" si="0"/>
        <v>3.4011973816621555</v>
      </c>
      <c r="I34" s="1">
        <f t="shared" si="1"/>
        <v>2.8332133440562162</v>
      </c>
      <c r="J34" s="1">
        <v>0</v>
      </c>
      <c r="K34" s="1">
        <v>0</v>
      </c>
      <c r="L34" s="1">
        <v>0</v>
      </c>
      <c r="M34" s="1">
        <v>0</v>
      </c>
      <c r="N34" s="1">
        <f t="shared" si="2"/>
        <v>0</v>
      </c>
      <c r="O34" s="2">
        <f t="shared" si="3"/>
        <v>100</v>
      </c>
      <c r="P34" s="2">
        <f t="shared" si="5"/>
        <v>1</v>
      </c>
      <c r="Q34" s="2">
        <f>SUS!$M34</f>
        <v>90</v>
      </c>
      <c r="R34" s="2" t="str">
        <f t="shared" si="4"/>
        <v>A+ (Outstanding)</v>
      </c>
    </row>
    <row r="35" spans="1:18">
      <c r="A35" s="1">
        <v>31</v>
      </c>
      <c r="B35" s="1">
        <v>1</v>
      </c>
      <c r="C35" s="1">
        <v>1</v>
      </c>
      <c r="D35" s="1">
        <v>1</v>
      </c>
      <c r="E35" s="1">
        <v>370</v>
      </c>
      <c r="F35" s="1">
        <v>25</v>
      </c>
      <c r="G35" s="1">
        <v>20</v>
      </c>
      <c r="H35" s="1">
        <f t="shared" si="0"/>
        <v>3.2188758248682006</v>
      </c>
      <c r="I35" s="1">
        <f t="shared" si="1"/>
        <v>2.9957322735539909</v>
      </c>
      <c r="J35" s="1">
        <v>1</v>
      </c>
      <c r="K35" s="1">
        <v>0</v>
      </c>
      <c r="L35" s="1">
        <v>0</v>
      </c>
      <c r="M35" s="1">
        <v>0</v>
      </c>
      <c r="N35" s="1">
        <f t="shared" si="2"/>
        <v>0.5</v>
      </c>
      <c r="O35" s="2">
        <f t="shared" ref="O35" si="6">((C35+D35)/2)*100</f>
        <v>100</v>
      </c>
      <c r="P35" s="2">
        <f t="shared" si="5"/>
        <v>0.5</v>
      </c>
      <c r="Q35" s="2">
        <f>SUS!$M35</f>
        <v>65</v>
      </c>
      <c r="R35" s="2" t="str">
        <f t="shared" ref="R35" si="7">IF(Q35&lt;51.7,"F (Poor)",
 IF(Q35&lt;62.6,"D (Bad)",
 IF(Q35&lt;64.9,"C- (Low)",
 IF(Q35&lt;71,"C (Average)",
 IF(Q35&lt;72.5,"C+ (Average+)",
 IF(Q35&lt;74,"B- (Good)",
 IF(Q35&lt;77.1,"B (Good)",
 IF(Q35&lt;78.8,"B+ (Good+)",
 IF(Q35&lt;80.7,"A- (Very Good)",
 IF(Q35&lt;84,"A (Excellent)",
 "A+ (Outstanding)"))))))))))</f>
        <v>C (Average)</v>
      </c>
    </row>
    <row r="36" spans="1:18">
      <c r="A36" s="13"/>
      <c r="B36" s="13"/>
      <c r="C36" s="13"/>
      <c r="D36" s="13" t="s">
        <v>74</v>
      </c>
      <c r="E36" s="11">
        <f>AVERAGE(E5:E34)</f>
        <v>390.4</v>
      </c>
      <c r="F36" s="11">
        <f>AVERAGE(F5:F35)</f>
        <v>57.548387096774192</v>
      </c>
      <c r="G36" s="11">
        <f>AVERAGE(G5:G35)</f>
        <v>39.387096774193552</v>
      </c>
      <c r="H36" s="11">
        <f>AVERAGE(H5:H35)</f>
        <v>3.5826308816980341</v>
      </c>
      <c r="I36" s="11">
        <f>AVERAGE(I5:I35)</f>
        <v>3.196333818489824</v>
      </c>
      <c r="J36" s="13"/>
      <c r="K36" s="13"/>
      <c r="L36" s="13"/>
      <c r="M36" s="11"/>
      <c r="N36" s="11">
        <f>AVERAGE(N5:N35)</f>
        <v>0.29032258064516131</v>
      </c>
      <c r="O36" s="12">
        <f>AVERAGE(O5:O34)</f>
        <v>100</v>
      </c>
      <c r="P36" s="12">
        <f>AVERAGE(P5:P34)</f>
        <v>0.74087301587301579</v>
      </c>
      <c r="Q36" s="12">
        <f>AVERAGE(Q5:Q34)</f>
        <v>81.5</v>
      </c>
      <c r="R36" s="12" t="str">
        <f t="shared" si="4"/>
        <v>A (Excellent)</v>
      </c>
    </row>
    <row r="37" spans="1:18">
      <c r="D37" t="s">
        <v>75</v>
      </c>
      <c r="E37" s="1"/>
      <c r="F37" s="1">
        <f>GEOMEAN(F5:F35)</f>
        <v>35.968044148114501</v>
      </c>
      <c r="G37" s="1">
        <f>GEOMEAN(G5:G35)</f>
        <v>24.442754156688359</v>
      </c>
      <c r="H37" s="1">
        <f>GEOMEAN(H5:H35)</f>
        <v>3.3584876281196037</v>
      </c>
      <c r="I37" s="1">
        <f>GEOMEAN(I5:I35)</f>
        <v>2.9953859877419156</v>
      </c>
    </row>
    <row r="38" spans="1:18">
      <c r="D38" t="s">
        <v>76</v>
      </c>
      <c r="E38" s="1"/>
      <c r="F38" s="1">
        <v>21</v>
      </c>
      <c r="G38" s="1">
        <v>14</v>
      </c>
      <c r="H38" s="1">
        <v>21</v>
      </c>
      <c r="I38" s="1">
        <v>14</v>
      </c>
      <c r="K38" t="s">
        <v>77</v>
      </c>
      <c r="L38" s="1">
        <f>L39/31*100</f>
        <v>83.870967741935488</v>
      </c>
      <c r="M38" s="1">
        <f>M39/31*100</f>
        <v>90.322580645161281</v>
      </c>
    </row>
    <row r="39" spans="1:18">
      <c r="D39" t="s">
        <v>78</v>
      </c>
      <c r="E39" s="1"/>
      <c r="F39" s="1">
        <f>2*F38</f>
        <v>42</v>
      </c>
      <c r="G39" s="1">
        <f>2*G38</f>
        <v>28</v>
      </c>
      <c r="H39" s="1">
        <f>2*H38</f>
        <v>42</v>
      </c>
      <c r="I39" s="1">
        <f>2*I38</f>
        <v>28</v>
      </c>
      <c r="K39" t="s">
        <v>79</v>
      </c>
      <c r="L39" s="1">
        <f>COUNTIF(L5:L35,0)</f>
        <v>26</v>
      </c>
      <c r="M39" s="1">
        <f>COUNTIF(M5:M35,0)</f>
        <v>28</v>
      </c>
    </row>
    <row r="40" spans="1:18">
      <c r="E40" s="1"/>
      <c r="F40" s="1"/>
      <c r="G40" s="1"/>
      <c r="H40" s="1"/>
      <c r="I40" s="1"/>
      <c r="K40" t="s">
        <v>80</v>
      </c>
      <c r="L40" s="1">
        <f>_xlfn.BINOM.DIST(COUNTIF(L5:L35,0),31,0.7,FALSE)</f>
        <v>3.8759378971096652E-2</v>
      </c>
      <c r="M40" s="1">
        <f>_xlfn.BINOM.DIST(COUNTIF(M5:M35,0),31,0.7,FALSE)</f>
        <v>5.5826266007752319E-3</v>
      </c>
    </row>
    <row r="41" spans="1:18">
      <c r="D41" s="1"/>
      <c r="E41" s="1"/>
      <c r="F41" s="1"/>
      <c r="G41" s="1"/>
      <c r="H41" s="1"/>
      <c r="I41" s="1"/>
      <c r="K41" t="s">
        <v>42</v>
      </c>
      <c r="L41" s="1">
        <f>(100-L40)</f>
        <v>99.961240621028907</v>
      </c>
      <c r="M41" s="1">
        <f>(100-M40)</f>
        <v>99.99441737339923</v>
      </c>
    </row>
    <row r="42" spans="1:18">
      <c r="E42" s="1"/>
      <c r="F42" s="1"/>
      <c r="G42" s="1"/>
      <c r="H42" s="1"/>
      <c r="I42" s="1"/>
    </row>
    <row r="43" spans="1:18">
      <c r="E43" s="1"/>
      <c r="F43" s="1"/>
      <c r="G43" s="1"/>
      <c r="H43" s="1"/>
      <c r="I43" s="1"/>
    </row>
    <row r="44" spans="1:18">
      <c r="E44" s="1"/>
      <c r="F44" s="1"/>
      <c r="G44" t="s">
        <v>36</v>
      </c>
      <c r="H44" s="1">
        <f>COUNTA(H5:H35)</f>
        <v>31</v>
      </c>
      <c r="I44" s="1">
        <f>COUNTA(I5:I35)</f>
        <v>31</v>
      </c>
    </row>
    <row r="45" spans="1:18">
      <c r="E45" s="1"/>
      <c r="F45" s="1"/>
      <c r="G45" t="s">
        <v>37</v>
      </c>
      <c r="H45" s="1">
        <f>H37</f>
        <v>3.3584876281196037</v>
      </c>
      <c r="I45" s="1">
        <f>I37</f>
        <v>2.9953859877419156</v>
      </c>
    </row>
    <row r="46" spans="1:18">
      <c r="E46" s="1"/>
      <c r="F46" s="1"/>
      <c r="G46" t="s">
        <v>81</v>
      </c>
      <c r="H46" s="1">
        <f>_xlfn.STDEV.S(H5:H35)</f>
        <v>1.0927539243335667</v>
      </c>
      <c r="I46" s="1">
        <f>_xlfn.STDEV.S(I5:I35)</f>
        <v>1.0285448705749143</v>
      </c>
    </row>
    <row r="47" spans="1:18">
      <c r="E47" s="1"/>
      <c r="F47" s="1"/>
      <c r="G47" t="s">
        <v>82</v>
      </c>
      <c r="H47" s="1">
        <f>LN(H48)</f>
        <v>3.7376696182833684</v>
      </c>
      <c r="I47" s="1">
        <f>LN(I48)</f>
        <v>3.3322045101752038</v>
      </c>
    </row>
    <row r="48" spans="1:18">
      <c r="E48" s="1"/>
      <c r="F48" s="1"/>
      <c r="G48" t="s">
        <v>39</v>
      </c>
      <c r="H48" s="1">
        <f>H39</f>
        <v>42</v>
      </c>
      <c r="I48" s="1">
        <f>I39</f>
        <v>28</v>
      </c>
    </row>
    <row r="49" spans="5:9">
      <c r="E49" s="1"/>
      <c r="F49" s="1"/>
      <c r="G49" t="s">
        <v>40</v>
      </c>
      <c r="H49" s="1">
        <f>(H47-H45)/(H46/SQRT(H44))</f>
        <v>1.9319957813451181</v>
      </c>
      <c r="I49" s="1">
        <f>(I47-I45)/(I46/SQRT(I44))</f>
        <v>1.8232808500584872</v>
      </c>
    </row>
    <row r="50" spans="5:9">
      <c r="E50" s="1"/>
      <c r="F50" s="1"/>
      <c r="G50" t="s">
        <v>41</v>
      </c>
      <c r="H50" s="1">
        <f>_xlfn.T.DIST.RT(H49, H44-1)</f>
        <v>3.142636504734532E-2</v>
      </c>
      <c r="I50" s="1">
        <f>_xlfn.T.DIST.RT(I49, I44-1)</f>
        <v>3.9119912364496377E-2</v>
      </c>
    </row>
    <row r="51" spans="5:9">
      <c r="E51" s="1"/>
      <c r="F51" s="1"/>
      <c r="G51" s="1"/>
      <c r="H51" s="1">
        <f>100- (H50*100)</f>
        <v>96.857363495265474</v>
      </c>
      <c r="I51" s="1">
        <f>100- (I50*100)</f>
        <v>96.088008763550363</v>
      </c>
    </row>
  </sheetData>
  <mergeCells count="1">
    <mergeCell ref="A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6327B-2E4E-42C3-9EB4-5EA702BCB192}">
  <dimension ref="A1:AK45"/>
  <sheetViews>
    <sheetView zoomScaleNormal="100" workbookViewId="0">
      <selection activeCell="A40" sqref="A40"/>
    </sheetView>
  </sheetViews>
  <sheetFormatPr baseColWidth="10" defaultColWidth="11.42578125" defaultRowHeight="15"/>
  <cols>
    <col min="2" max="2" width="20.42578125" customWidth="1"/>
    <col min="3" max="3" width="20.28515625" customWidth="1"/>
    <col min="4" max="4" width="18.140625" customWidth="1"/>
    <col min="5" max="5" width="18.7109375" customWidth="1"/>
    <col min="6" max="6" width="22.28515625" customWidth="1"/>
    <col min="7" max="7" width="18.85546875" customWidth="1"/>
    <col min="8" max="8" width="17.7109375" customWidth="1"/>
    <col min="9" max="9" width="15.42578125" customWidth="1"/>
    <col min="10" max="10" width="12.7109375" customWidth="1"/>
    <col min="11" max="11" width="20.140625" customWidth="1"/>
    <col min="12" max="12" width="21.28515625" customWidth="1"/>
    <col min="13" max="13" width="22.42578125" customWidth="1"/>
    <col min="14" max="14" width="19.7109375" customWidth="1"/>
    <col min="15" max="15" width="20.28515625" customWidth="1"/>
    <col min="16" max="16" width="19.42578125" customWidth="1"/>
    <col min="17" max="17" width="18.28515625" customWidth="1"/>
    <col min="18" max="18" width="14.7109375" customWidth="1"/>
    <col min="19" max="19" width="19.5703125" customWidth="1"/>
    <col min="20" max="20" width="13.7109375" customWidth="1"/>
    <col min="21" max="21" width="18.7109375" customWidth="1"/>
    <col min="22" max="22" width="10.85546875" customWidth="1"/>
    <col min="23" max="23" width="15.7109375" customWidth="1"/>
    <col min="24" max="24" width="8.7109375" customWidth="1"/>
    <col min="25" max="25" width="17.28515625" style="1" customWidth="1"/>
    <col min="26" max="26" width="14.7109375" customWidth="1"/>
    <col min="27" max="27" width="14.5703125" customWidth="1"/>
    <col min="28" max="28" width="9.7109375" customWidth="1"/>
    <col min="29" max="29" width="17.85546875" style="1" customWidth="1"/>
    <col min="30" max="30" width="10.85546875" customWidth="1"/>
    <col min="31" max="31" width="21.28515625" customWidth="1"/>
    <col min="32" max="32" width="12.42578125" customWidth="1"/>
    <col min="33" max="33" width="17.85546875" style="1" customWidth="1"/>
    <col min="37" max="37" width="19.42578125" customWidth="1"/>
  </cols>
  <sheetData>
    <row r="1" spans="1:37" ht="15.75">
      <c r="A1" s="20" t="s">
        <v>83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spans="1:37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84</v>
      </c>
      <c r="M2" s="2" t="s">
        <v>85</v>
      </c>
      <c r="N2" s="2" t="s">
        <v>86</v>
      </c>
      <c r="O2" s="2" t="s">
        <v>87</v>
      </c>
      <c r="P2" s="2" t="s">
        <v>88</v>
      </c>
      <c r="Q2" s="2" t="s">
        <v>89</v>
      </c>
      <c r="R2" s="19" t="s">
        <v>90</v>
      </c>
      <c r="S2" s="19"/>
      <c r="T2" s="19"/>
      <c r="U2" s="19"/>
      <c r="V2" s="19" t="s">
        <v>91</v>
      </c>
      <c r="W2" s="19"/>
      <c r="X2" s="19"/>
      <c r="Y2" s="19"/>
      <c r="Z2" s="19" t="s">
        <v>92</v>
      </c>
      <c r="AA2" s="19"/>
      <c r="AB2" s="19"/>
      <c r="AC2" s="19"/>
      <c r="AD2" s="19" t="s">
        <v>93</v>
      </c>
      <c r="AE2" s="19"/>
      <c r="AF2" s="19"/>
      <c r="AG2" s="19"/>
      <c r="AH2" s="19" t="s">
        <v>83</v>
      </c>
      <c r="AI2" s="19"/>
      <c r="AJ2" s="19"/>
      <c r="AK2" s="19"/>
    </row>
    <row r="3" spans="1:37" ht="15" customHeight="1">
      <c r="B3" s="2" t="s">
        <v>94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  <c r="M3" s="2" t="s">
        <v>105</v>
      </c>
      <c r="N3" s="2" t="s">
        <v>106</v>
      </c>
      <c r="O3" s="2" t="s">
        <v>107</v>
      </c>
      <c r="P3" s="2" t="s">
        <v>108</v>
      </c>
      <c r="Q3" s="2" t="s">
        <v>109</v>
      </c>
      <c r="R3" s="19" t="s">
        <v>110</v>
      </c>
      <c r="S3" s="19"/>
      <c r="T3" s="19"/>
      <c r="U3" s="19"/>
      <c r="V3" s="21" t="s">
        <v>111</v>
      </c>
      <c r="W3" s="21"/>
      <c r="X3" s="21"/>
      <c r="Y3" s="21"/>
      <c r="Z3" s="19" t="s">
        <v>112</v>
      </c>
      <c r="AA3" s="19"/>
      <c r="AB3" s="19"/>
      <c r="AC3" s="19"/>
      <c r="AD3" s="19" t="s">
        <v>113</v>
      </c>
      <c r="AE3" s="19"/>
      <c r="AF3" s="19"/>
      <c r="AG3" s="19"/>
      <c r="AH3" s="19"/>
      <c r="AI3" s="19"/>
      <c r="AJ3" s="19"/>
      <c r="AK3" s="19"/>
    </row>
    <row r="4" spans="1:37" ht="150" customHeight="1">
      <c r="A4" s="2" t="s">
        <v>54</v>
      </c>
      <c r="B4" s="6" t="s">
        <v>114</v>
      </c>
      <c r="C4" s="6" t="s">
        <v>115</v>
      </c>
      <c r="D4" s="6" t="s">
        <v>116</v>
      </c>
      <c r="E4" s="6" t="s">
        <v>117</v>
      </c>
      <c r="F4" s="6" t="s">
        <v>118</v>
      </c>
      <c r="G4" s="6" t="s">
        <v>119</v>
      </c>
      <c r="H4" s="6" t="s">
        <v>120</v>
      </c>
      <c r="I4" s="6" t="s">
        <v>121</v>
      </c>
      <c r="J4" s="6" t="s">
        <v>122</v>
      </c>
      <c r="K4" s="6" t="s">
        <v>123</v>
      </c>
      <c r="L4" s="6" t="s">
        <v>124</v>
      </c>
      <c r="M4" s="6" t="s">
        <v>125</v>
      </c>
      <c r="N4" s="6" t="s">
        <v>126</v>
      </c>
      <c r="O4" s="6" t="s">
        <v>127</v>
      </c>
      <c r="P4" s="6" t="s">
        <v>128</v>
      </c>
      <c r="Q4" s="6" t="s">
        <v>129</v>
      </c>
      <c r="R4" s="2" t="s">
        <v>130</v>
      </c>
      <c r="S4" s="2" t="s">
        <v>131</v>
      </c>
      <c r="T4" s="2" t="s">
        <v>132</v>
      </c>
      <c r="U4" s="2" t="s">
        <v>34</v>
      </c>
      <c r="V4" s="2" t="s">
        <v>130</v>
      </c>
      <c r="W4" s="2" t="s">
        <v>131</v>
      </c>
      <c r="X4" s="2" t="s">
        <v>132</v>
      </c>
      <c r="Y4" s="2" t="s">
        <v>34</v>
      </c>
      <c r="Z4" s="2" t="s">
        <v>130</v>
      </c>
      <c r="AA4" s="2" t="s">
        <v>131</v>
      </c>
      <c r="AB4" s="2" t="s">
        <v>132</v>
      </c>
      <c r="AC4" s="2" t="s">
        <v>34</v>
      </c>
      <c r="AD4" s="2" t="s">
        <v>130</v>
      </c>
      <c r="AE4" s="2" t="s">
        <v>131</v>
      </c>
      <c r="AF4" s="2" t="s">
        <v>132</v>
      </c>
      <c r="AG4" s="2" t="s">
        <v>34</v>
      </c>
      <c r="AH4" s="2" t="s">
        <v>130</v>
      </c>
      <c r="AI4" s="2" t="s">
        <v>131</v>
      </c>
      <c r="AJ4" s="2" t="s">
        <v>132</v>
      </c>
      <c r="AK4" s="2" t="s">
        <v>34</v>
      </c>
    </row>
    <row r="5" spans="1:37">
      <c r="A5" s="1">
        <v>1</v>
      </c>
      <c r="B5" s="1">
        <v>5</v>
      </c>
      <c r="C5" s="1">
        <v>5</v>
      </c>
      <c r="D5" s="1">
        <v>3</v>
      </c>
      <c r="E5" s="1">
        <v>3</v>
      </c>
      <c r="F5" s="1">
        <v>4</v>
      </c>
      <c r="G5" s="1">
        <v>3</v>
      </c>
      <c r="H5" s="1">
        <v>2</v>
      </c>
      <c r="I5" s="1">
        <v>1</v>
      </c>
      <c r="J5" s="1">
        <v>5</v>
      </c>
      <c r="K5" s="1">
        <v>5</v>
      </c>
      <c r="L5" s="1">
        <v>3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8">
        <f>IF(COUNT(B5,C5,J5,K5)=0,0,AVERAGE(B5,C5,J5,K5))</f>
        <v>5</v>
      </c>
      <c r="S5" s="14">
        <f>IF(COUNT(B5,C5,J5,K5)=0,0,_xlfn.STDEV.S(B5,C5,J5,K5))</f>
        <v>0</v>
      </c>
      <c r="T5" s="8">
        <f>IF(COUNT(B5,C5,J5,K5)=0,0,MEDIAN(B5,C5,J5,K5))</f>
        <v>5</v>
      </c>
      <c r="U5" s="8">
        <f>SUM(B5,C5,J5,K5)</f>
        <v>20</v>
      </c>
      <c r="V5" s="1">
        <f>IF(COUNT(D5:H5)=0,0,AVERAGE(D5:H5))</f>
        <v>3</v>
      </c>
      <c r="W5" s="1">
        <f>IF(COUNT(D5:H5)=0,0,_xlfn.STDEV.S(D5:H5))</f>
        <v>0.70710678118654757</v>
      </c>
      <c r="X5" s="1">
        <f>IF(COUNT(D5:H5)=0,0,MEDIAN(D5:H5))</f>
        <v>3</v>
      </c>
      <c r="Y5" s="1">
        <f>SUM(D5:H5)</f>
        <v>15</v>
      </c>
      <c r="Z5" s="1">
        <f>IF(COUNT(I5,L5,M5)=0,0,AVERAGE(I5,L5,M5))</f>
        <v>1.6666666666666667</v>
      </c>
      <c r="AA5" s="1">
        <f>IF(COUNT(I5,L5,M5)=0,0,_xlfn.STDEV.S(I5,L5,M5))</f>
        <v>1.1547005383792515</v>
      </c>
      <c r="AB5" s="1">
        <f>IF(COUNT(I5,L5,M5)=0,0,MEDIAN(I5,L5,M5))</f>
        <v>1</v>
      </c>
      <c r="AC5" s="1">
        <f>SUM(I5,L5,M5)</f>
        <v>5</v>
      </c>
      <c r="AD5" s="1">
        <f>IF(COUNT(N5:Q5)=0,0,AVERAGE(N5:Q5))</f>
        <v>1</v>
      </c>
      <c r="AE5" s="1">
        <f>IF(COUNT(N5:Q5)=0,0,_xlfn.STDEV.S(N5:Q5))</f>
        <v>0</v>
      </c>
      <c r="AF5" s="1">
        <f>IF(COUNT(N5:Q5)=0,0,MEDIAN(N5:Q5))</f>
        <v>1</v>
      </c>
      <c r="AG5" s="1">
        <f>SUM(N5:Q5)</f>
        <v>4</v>
      </c>
      <c r="AH5" s="9">
        <f>AVERAGE(VALUE(B5),VALUE(Q5))</f>
        <v>3</v>
      </c>
      <c r="AI5" s="1">
        <f>IF(COUNT(B5,Q5)=0,0,_xlfn.STDEV.S(B5,Q5))</f>
        <v>2.8284271247461903</v>
      </c>
      <c r="AJ5" s="1">
        <f>IF(COUNT(B5,Q5)=0,0,MEDIAN(B5,Q5))</f>
        <v>3</v>
      </c>
      <c r="AK5" s="1">
        <f>SUM(B5:Q5)</f>
        <v>44</v>
      </c>
    </row>
    <row r="6" spans="1:37">
      <c r="A6" s="1">
        <v>2</v>
      </c>
      <c r="B6" s="1">
        <v>5</v>
      </c>
      <c r="C6" s="1">
        <v>5</v>
      </c>
      <c r="D6" s="1">
        <v>2</v>
      </c>
      <c r="E6" s="1">
        <v>3</v>
      </c>
      <c r="F6" s="1">
        <v>2</v>
      </c>
      <c r="G6" s="1">
        <v>2</v>
      </c>
      <c r="H6" s="1">
        <v>2</v>
      </c>
      <c r="I6" s="1">
        <v>2</v>
      </c>
      <c r="J6" s="1">
        <v>5</v>
      </c>
      <c r="K6" s="1">
        <v>5</v>
      </c>
      <c r="L6" s="1">
        <v>2</v>
      </c>
      <c r="M6" s="1">
        <v>2</v>
      </c>
      <c r="N6" s="1">
        <v>2</v>
      </c>
      <c r="O6" s="1">
        <v>2</v>
      </c>
      <c r="P6" s="1">
        <v>2</v>
      </c>
      <c r="Q6" s="1">
        <v>2</v>
      </c>
      <c r="R6" s="8">
        <f t="shared" ref="R6:R34" si="0">IF(COUNT(B6,C6,J6,K6)=0,0,AVERAGE(B6,C6,J6,K6))</f>
        <v>5</v>
      </c>
      <c r="S6" s="14">
        <f t="shared" ref="S6:S34" si="1">IF(COUNT(B6,C6,J6,K6)=0,0,_xlfn.STDEV.S(B6,C6,J6,K6))</f>
        <v>0</v>
      </c>
      <c r="T6" s="8">
        <f t="shared" ref="T6:T34" si="2">IF(COUNT(B6,C6,J6,K6)=0,0,MEDIAN(B6,C6,J6,K6))</f>
        <v>5</v>
      </c>
      <c r="U6" s="8">
        <f t="shared" ref="U6:U34" si="3">SUM(B6,C6,J6,K6)</f>
        <v>20</v>
      </c>
      <c r="V6" s="1">
        <f t="shared" ref="V6:V34" si="4">IF(COUNT(D6:H6)=0,0,AVERAGE(D6:H6))</f>
        <v>2.2000000000000002</v>
      </c>
      <c r="W6" s="1">
        <f t="shared" ref="W6:W34" si="5">IF(COUNT(D6:H6)=0,0,_xlfn.STDEV.S(D6:H6))</f>
        <v>0.44721359549995815</v>
      </c>
      <c r="X6" s="1">
        <f t="shared" ref="X6:X34" si="6">IF(COUNT(D6:H6)=0,0,MEDIAN(D6:H6))</f>
        <v>2</v>
      </c>
      <c r="Y6" s="1">
        <f t="shared" ref="Y6:Y34" si="7">SUM(D6:H6)</f>
        <v>11</v>
      </c>
      <c r="Z6" s="1">
        <f t="shared" ref="Z6:Z34" si="8">IF(COUNT(I6,L6,M6)=0,0,AVERAGE(I6,L6,M6))</f>
        <v>2</v>
      </c>
      <c r="AA6" s="1">
        <f t="shared" ref="AA6:AA34" si="9">IF(COUNT(I6,L6,M6)=0,0,_xlfn.STDEV.S(I6,L6,M6))</f>
        <v>0</v>
      </c>
      <c r="AB6" s="1">
        <f t="shared" ref="AB6:AB34" si="10">IF(COUNT(I6,L6,M6)=0,0,MEDIAN(I6,L6,M6))</f>
        <v>2</v>
      </c>
      <c r="AC6" s="1">
        <f t="shared" ref="AC6:AC34" si="11">SUM(I6,L6,M6)</f>
        <v>6</v>
      </c>
      <c r="AD6" s="1">
        <f t="shared" ref="AD6:AD34" si="12">IF(COUNT(N6:Q6)=0,0,AVERAGE(N6:Q6))</f>
        <v>2</v>
      </c>
      <c r="AE6" s="1">
        <f t="shared" ref="AE6:AE34" si="13">IF(COUNT(N6:Q6)=0,0,_xlfn.STDEV.S(N6:Q6))</f>
        <v>0</v>
      </c>
      <c r="AF6" s="1">
        <f t="shared" ref="AF6:AF34" si="14">IF(COUNT(N6:Q6)=0,0,MEDIAN(N6:Q6))</f>
        <v>2</v>
      </c>
      <c r="AG6" s="1">
        <f t="shared" ref="AG6:AG34" si="15">SUM(N6:Q6)</f>
        <v>8</v>
      </c>
      <c r="AH6" s="9">
        <f t="shared" ref="AH6:AH34" si="16">AVERAGE(VALUE(B6),VALUE(Q6))</f>
        <v>3.5</v>
      </c>
      <c r="AI6" s="1">
        <f t="shared" ref="AI6:AI34" si="17">IF(COUNT(B6,Q6)=0,0,_xlfn.STDEV.S(B6,Q6))</f>
        <v>2.1213203435596424</v>
      </c>
      <c r="AJ6" s="1">
        <f t="shared" ref="AJ6:AJ34" si="18">IF(COUNT(B6,Q6)=0,0,MEDIAN(B6,Q6))</f>
        <v>3.5</v>
      </c>
      <c r="AK6" s="1">
        <f t="shared" ref="AK6:AK34" si="19">SUM(B6:Q6)</f>
        <v>45</v>
      </c>
    </row>
    <row r="7" spans="1:37">
      <c r="A7" s="1">
        <v>3</v>
      </c>
      <c r="B7" s="1">
        <v>4</v>
      </c>
      <c r="C7" s="1">
        <v>5</v>
      </c>
      <c r="D7" s="1">
        <v>4</v>
      </c>
      <c r="E7" s="1">
        <v>3</v>
      </c>
      <c r="F7" s="1">
        <v>5</v>
      </c>
      <c r="G7" s="1">
        <v>5</v>
      </c>
      <c r="H7" s="1">
        <v>5</v>
      </c>
      <c r="I7" s="1">
        <v>4</v>
      </c>
      <c r="J7" s="1">
        <v>5</v>
      </c>
      <c r="K7" s="1">
        <v>5</v>
      </c>
      <c r="L7" s="1">
        <v>5</v>
      </c>
      <c r="M7" s="1">
        <v>4</v>
      </c>
      <c r="N7" s="1">
        <v>5</v>
      </c>
      <c r="O7" s="1">
        <v>4</v>
      </c>
      <c r="P7" s="1">
        <v>3</v>
      </c>
      <c r="Q7" s="1">
        <v>3</v>
      </c>
      <c r="R7" s="8">
        <f t="shared" si="0"/>
        <v>4.75</v>
      </c>
      <c r="S7" s="14">
        <f t="shared" si="1"/>
        <v>0.5</v>
      </c>
      <c r="T7" s="8">
        <f t="shared" si="2"/>
        <v>5</v>
      </c>
      <c r="U7" s="8">
        <f t="shared" si="3"/>
        <v>19</v>
      </c>
      <c r="V7" s="1">
        <f t="shared" si="4"/>
        <v>4.4000000000000004</v>
      </c>
      <c r="W7" s="1">
        <f t="shared" si="5"/>
        <v>0.8944271909999163</v>
      </c>
      <c r="X7" s="1">
        <f t="shared" si="6"/>
        <v>5</v>
      </c>
      <c r="Y7" s="1">
        <f t="shared" si="7"/>
        <v>22</v>
      </c>
      <c r="Z7" s="1">
        <f t="shared" si="8"/>
        <v>4.333333333333333</v>
      </c>
      <c r="AA7" s="1">
        <f t="shared" si="9"/>
        <v>0.57735026918962473</v>
      </c>
      <c r="AB7" s="1">
        <f t="shared" si="10"/>
        <v>4</v>
      </c>
      <c r="AC7" s="1">
        <f t="shared" si="11"/>
        <v>13</v>
      </c>
      <c r="AD7" s="1">
        <f t="shared" si="12"/>
        <v>3.75</v>
      </c>
      <c r="AE7" s="1">
        <f t="shared" si="13"/>
        <v>0.9574271077563381</v>
      </c>
      <c r="AF7" s="1">
        <f t="shared" si="14"/>
        <v>3.5</v>
      </c>
      <c r="AG7" s="1">
        <f t="shared" si="15"/>
        <v>15</v>
      </c>
      <c r="AH7" s="9">
        <f t="shared" si="16"/>
        <v>3.5</v>
      </c>
      <c r="AI7" s="1">
        <f t="shared" si="17"/>
        <v>0.70710678118654757</v>
      </c>
      <c r="AJ7" s="1">
        <f t="shared" si="18"/>
        <v>3.5</v>
      </c>
      <c r="AK7" s="1">
        <f t="shared" si="19"/>
        <v>69</v>
      </c>
    </row>
    <row r="8" spans="1:37">
      <c r="A8" s="1">
        <v>4</v>
      </c>
      <c r="B8" s="1">
        <v>5</v>
      </c>
      <c r="C8" s="1">
        <v>5</v>
      </c>
      <c r="D8" s="1">
        <v>4</v>
      </c>
      <c r="E8" s="1">
        <v>5</v>
      </c>
      <c r="F8" s="1">
        <v>3</v>
      </c>
      <c r="G8" s="1">
        <v>5</v>
      </c>
      <c r="H8" s="1">
        <v>5</v>
      </c>
      <c r="I8" s="1">
        <v>3</v>
      </c>
      <c r="J8" s="1">
        <v>3</v>
      </c>
      <c r="K8" s="1">
        <v>4</v>
      </c>
      <c r="L8" s="1">
        <v>2</v>
      </c>
      <c r="M8" s="1">
        <v>2</v>
      </c>
      <c r="N8" s="1">
        <v>1</v>
      </c>
      <c r="O8" s="1">
        <v>4</v>
      </c>
      <c r="P8" s="1">
        <v>4</v>
      </c>
      <c r="Q8" s="1">
        <v>3</v>
      </c>
      <c r="R8" s="8">
        <f t="shared" si="0"/>
        <v>4.25</v>
      </c>
      <c r="S8" s="14">
        <f t="shared" si="1"/>
        <v>0.9574271077563381</v>
      </c>
      <c r="T8" s="8">
        <f t="shared" si="2"/>
        <v>4.5</v>
      </c>
      <c r="U8" s="8">
        <f t="shared" si="3"/>
        <v>17</v>
      </c>
      <c r="V8" s="1">
        <f t="shared" si="4"/>
        <v>4.4000000000000004</v>
      </c>
      <c r="W8" s="1">
        <f t="shared" si="5"/>
        <v>0.8944271909999163</v>
      </c>
      <c r="X8" s="1">
        <f t="shared" si="6"/>
        <v>5</v>
      </c>
      <c r="Y8" s="1">
        <f t="shared" si="7"/>
        <v>22</v>
      </c>
      <c r="Z8" s="1">
        <f t="shared" si="8"/>
        <v>2.3333333333333335</v>
      </c>
      <c r="AA8" s="1">
        <f t="shared" si="9"/>
        <v>0.57735026918962629</v>
      </c>
      <c r="AB8" s="1">
        <f t="shared" si="10"/>
        <v>2</v>
      </c>
      <c r="AC8" s="1">
        <f t="shared" si="11"/>
        <v>7</v>
      </c>
      <c r="AD8" s="1">
        <f t="shared" si="12"/>
        <v>3</v>
      </c>
      <c r="AE8" s="1">
        <f t="shared" si="13"/>
        <v>1.4142135623730951</v>
      </c>
      <c r="AF8" s="1">
        <f t="shared" si="14"/>
        <v>3.5</v>
      </c>
      <c r="AG8" s="1">
        <f t="shared" si="15"/>
        <v>12</v>
      </c>
      <c r="AH8" s="9">
        <f t="shared" si="16"/>
        <v>4</v>
      </c>
      <c r="AI8" s="1">
        <f t="shared" si="17"/>
        <v>1.4142135623730951</v>
      </c>
      <c r="AJ8" s="1">
        <f t="shared" si="18"/>
        <v>4</v>
      </c>
      <c r="AK8" s="1">
        <f t="shared" si="19"/>
        <v>58</v>
      </c>
    </row>
    <row r="9" spans="1:37">
      <c r="A9" s="1">
        <v>5</v>
      </c>
      <c r="B9" s="1">
        <v>5</v>
      </c>
      <c r="C9" s="1">
        <v>5</v>
      </c>
      <c r="D9" s="1">
        <v>3</v>
      </c>
      <c r="E9" s="1">
        <v>1</v>
      </c>
      <c r="F9" s="1">
        <v>5</v>
      </c>
      <c r="G9" s="1">
        <v>5</v>
      </c>
      <c r="H9" s="1">
        <v>4</v>
      </c>
      <c r="I9" s="1">
        <v>4</v>
      </c>
      <c r="J9" s="1">
        <v>5</v>
      </c>
      <c r="K9" s="1">
        <v>5</v>
      </c>
      <c r="L9" s="1">
        <v>5</v>
      </c>
      <c r="M9" s="1">
        <v>5</v>
      </c>
      <c r="N9" s="1">
        <v>5</v>
      </c>
      <c r="O9" s="1">
        <v>4</v>
      </c>
      <c r="P9" s="1">
        <v>3</v>
      </c>
      <c r="Q9" s="1">
        <v>4</v>
      </c>
      <c r="R9" s="8">
        <f t="shared" si="0"/>
        <v>5</v>
      </c>
      <c r="S9" s="14">
        <f t="shared" si="1"/>
        <v>0</v>
      </c>
      <c r="T9" s="8">
        <f t="shared" si="2"/>
        <v>5</v>
      </c>
      <c r="U9" s="8">
        <f t="shared" si="3"/>
        <v>20</v>
      </c>
      <c r="V9" s="1">
        <f t="shared" si="4"/>
        <v>3.6</v>
      </c>
      <c r="W9" s="1">
        <f t="shared" si="5"/>
        <v>1.6733200530681513</v>
      </c>
      <c r="X9" s="1">
        <f t="shared" si="6"/>
        <v>4</v>
      </c>
      <c r="Y9" s="1">
        <f t="shared" si="7"/>
        <v>18</v>
      </c>
      <c r="Z9" s="1">
        <f t="shared" si="8"/>
        <v>4.666666666666667</v>
      </c>
      <c r="AA9" s="1">
        <f t="shared" si="9"/>
        <v>0.57735026918962784</v>
      </c>
      <c r="AB9" s="1">
        <f t="shared" si="10"/>
        <v>5</v>
      </c>
      <c r="AC9" s="1">
        <f t="shared" si="11"/>
        <v>14</v>
      </c>
      <c r="AD9" s="1">
        <f t="shared" si="12"/>
        <v>4</v>
      </c>
      <c r="AE9" s="1">
        <f t="shared" si="13"/>
        <v>0.81649658092772603</v>
      </c>
      <c r="AF9" s="1">
        <f t="shared" si="14"/>
        <v>4</v>
      </c>
      <c r="AG9" s="1">
        <f t="shared" si="15"/>
        <v>16</v>
      </c>
      <c r="AH9" s="9">
        <f t="shared" si="16"/>
        <v>4.5</v>
      </c>
      <c r="AI9" s="1">
        <f t="shared" si="17"/>
        <v>0.70710678118654757</v>
      </c>
      <c r="AJ9" s="1">
        <f t="shared" si="18"/>
        <v>4.5</v>
      </c>
      <c r="AK9" s="1">
        <f t="shared" si="19"/>
        <v>68</v>
      </c>
    </row>
    <row r="10" spans="1:37">
      <c r="A10" s="1">
        <v>6</v>
      </c>
      <c r="B10" s="1">
        <v>5</v>
      </c>
      <c r="C10" s="1">
        <v>4</v>
      </c>
      <c r="D10" s="1">
        <v>5</v>
      </c>
      <c r="E10" s="1">
        <v>5</v>
      </c>
      <c r="F10" s="1">
        <v>3</v>
      </c>
      <c r="G10" s="1">
        <v>4</v>
      </c>
      <c r="H10" s="1">
        <v>4</v>
      </c>
      <c r="I10" s="1">
        <v>4</v>
      </c>
      <c r="J10" s="1">
        <v>5</v>
      </c>
      <c r="K10" s="1">
        <v>5</v>
      </c>
      <c r="L10" s="1">
        <v>5</v>
      </c>
      <c r="M10" s="1">
        <v>5</v>
      </c>
      <c r="N10" s="1">
        <v>4</v>
      </c>
      <c r="O10" s="1">
        <v>4</v>
      </c>
      <c r="P10" s="1">
        <v>5</v>
      </c>
      <c r="Q10" s="1">
        <v>2</v>
      </c>
      <c r="R10" s="8">
        <f t="shared" si="0"/>
        <v>4.75</v>
      </c>
      <c r="S10" s="14">
        <f t="shared" si="1"/>
        <v>0.5</v>
      </c>
      <c r="T10" s="8">
        <f t="shared" si="2"/>
        <v>5</v>
      </c>
      <c r="U10" s="8">
        <f t="shared" si="3"/>
        <v>19</v>
      </c>
      <c r="V10" s="1">
        <f t="shared" si="4"/>
        <v>4.2</v>
      </c>
      <c r="W10" s="1">
        <f t="shared" si="5"/>
        <v>0.83666002653407512</v>
      </c>
      <c r="X10" s="1">
        <f t="shared" si="6"/>
        <v>4</v>
      </c>
      <c r="Y10" s="1">
        <f t="shared" si="7"/>
        <v>21</v>
      </c>
      <c r="Z10" s="1">
        <f t="shared" si="8"/>
        <v>4.666666666666667</v>
      </c>
      <c r="AA10" s="1">
        <f t="shared" si="9"/>
        <v>0.57735026918962784</v>
      </c>
      <c r="AB10" s="1">
        <f t="shared" si="10"/>
        <v>5</v>
      </c>
      <c r="AC10" s="1">
        <f t="shared" si="11"/>
        <v>14</v>
      </c>
      <c r="AD10" s="1">
        <f t="shared" si="12"/>
        <v>3.75</v>
      </c>
      <c r="AE10" s="1">
        <f t="shared" si="13"/>
        <v>1.2583057392117916</v>
      </c>
      <c r="AF10" s="1">
        <f t="shared" si="14"/>
        <v>4</v>
      </c>
      <c r="AG10" s="1">
        <f t="shared" si="15"/>
        <v>15</v>
      </c>
      <c r="AH10" s="9">
        <f t="shared" si="16"/>
        <v>3.5</v>
      </c>
      <c r="AI10" s="1">
        <f t="shared" si="17"/>
        <v>2.1213203435596424</v>
      </c>
      <c r="AJ10" s="1">
        <f t="shared" si="18"/>
        <v>3.5</v>
      </c>
      <c r="AK10" s="1">
        <f t="shared" si="19"/>
        <v>69</v>
      </c>
    </row>
    <row r="11" spans="1:37">
      <c r="A11" s="1">
        <v>7</v>
      </c>
      <c r="B11" s="1">
        <v>4</v>
      </c>
      <c r="C11" s="1">
        <v>5</v>
      </c>
      <c r="D11" s="1">
        <v>4</v>
      </c>
      <c r="E11" s="1">
        <v>3</v>
      </c>
      <c r="F11" s="1">
        <v>4</v>
      </c>
      <c r="G11" s="1">
        <v>4</v>
      </c>
      <c r="H11" s="1">
        <v>3</v>
      </c>
      <c r="I11" s="1">
        <v>4</v>
      </c>
      <c r="J11" s="1">
        <v>5</v>
      </c>
      <c r="K11" s="1">
        <v>4</v>
      </c>
      <c r="L11" s="1">
        <v>4</v>
      </c>
      <c r="M11" s="1">
        <v>4</v>
      </c>
      <c r="N11" s="1">
        <v>4</v>
      </c>
      <c r="O11" s="1">
        <v>4</v>
      </c>
      <c r="P11" s="1">
        <v>4</v>
      </c>
      <c r="Q11" s="1">
        <v>2</v>
      </c>
      <c r="R11" s="8">
        <f t="shared" si="0"/>
        <v>4.5</v>
      </c>
      <c r="S11" s="14">
        <f t="shared" si="1"/>
        <v>0.57735026918962573</v>
      </c>
      <c r="T11" s="8">
        <f t="shared" si="2"/>
        <v>4.5</v>
      </c>
      <c r="U11" s="8">
        <f t="shared" si="3"/>
        <v>18</v>
      </c>
      <c r="V11" s="1">
        <f t="shared" si="4"/>
        <v>3.6</v>
      </c>
      <c r="W11" s="1">
        <f t="shared" si="5"/>
        <v>0.54772255750516674</v>
      </c>
      <c r="X11" s="1">
        <f t="shared" si="6"/>
        <v>4</v>
      </c>
      <c r="Y11" s="1">
        <f t="shared" si="7"/>
        <v>18</v>
      </c>
      <c r="Z11" s="1">
        <f t="shared" si="8"/>
        <v>4</v>
      </c>
      <c r="AA11" s="1">
        <f t="shared" si="9"/>
        <v>0</v>
      </c>
      <c r="AB11" s="1">
        <f t="shared" si="10"/>
        <v>4</v>
      </c>
      <c r="AC11" s="1">
        <f t="shared" si="11"/>
        <v>12</v>
      </c>
      <c r="AD11" s="1">
        <f t="shared" si="12"/>
        <v>3.5</v>
      </c>
      <c r="AE11" s="1">
        <f t="shared" si="13"/>
        <v>1</v>
      </c>
      <c r="AF11" s="1">
        <f t="shared" si="14"/>
        <v>4</v>
      </c>
      <c r="AG11" s="1">
        <f t="shared" si="15"/>
        <v>14</v>
      </c>
      <c r="AH11" s="9">
        <f t="shared" si="16"/>
        <v>3</v>
      </c>
      <c r="AI11" s="1">
        <f t="shared" si="17"/>
        <v>1.4142135623730951</v>
      </c>
      <c r="AJ11" s="1">
        <f t="shared" si="18"/>
        <v>3</v>
      </c>
      <c r="AK11" s="1">
        <f t="shared" si="19"/>
        <v>62</v>
      </c>
    </row>
    <row r="12" spans="1:37">
      <c r="A12" s="1">
        <v>8</v>
      </c>
      <c r="B12" s="1">
        <v>4</v>
      </c>
      <c r="C12" s="1">
        <v>5</v>
      </c>
      <c r="D12" s="1">
        <v>3</v>
      </c>
      <c r="E12" s="1">
        <v>4</v>
      </c>
      <c r="F12" s="1">
        <v>4</v>
      </c>
      <c r="G12" s="1">
        <v>4</v>
      </c>
      <c r="H12" s="1">
        <v>4</v>
      </c>
      <c r="I12" s="1">
        <v>4</v>
      </c>
      <c r="J12" s="1">
        <v>5</v>
      </c>
      <c r="K12" s="1">
        <v>4</v>
      </c>
      <c r="L12" s="1">
        <v>4</v>
      </c>
      <c r="M12" s="1">
        <v>4</v>
      </c>
      <c r="N12" s="1">
        <v>4</v>
      </c>
      <c r="O12" s="1">
        <v>4</v>
      </c>
      <c r="P12" s="1">
        <v>4</v>
      </c>
      <c r="Q12" s="1">
        <v>3</v>
      </c>
      <c r="R12" s="8">
        <f t="shared" si="0"/>
        <v>4.5</v>
      </c>
      <c r="S12" s="14">
        <f t="shared" si="1"/>
        <v>0.57735026918962573</v>
      </c>
      <c r="T12" s="8">
        <f t="shared" si="2"/>
        <v>4.5</v>
      </c>
      <c r="U12" s="8">
        <f t="shared" si="3"/>
        <v>18</v>
      </c>
      <c r="V12" s="1">
        <f t="shared" si="4"/>
        <v>3.8</v>
      </c>
      <c r="W12" s="1">
        <f t="shared" si="5"/>
        <v>0.44721359549995715</v>
      </c>
      <c r="X12" s="1">
        <f t="shared" si="6"/>
        <v>4</v>
      </c>
      <c r="Y12" s="1">
        <f t="shared" si="7"/>
        <v>19</v>
      </c>
      <c r="Z12" s="1">
        <f t="shared" si="8"/>
        <v>4</v>
      </c>
      <c r="AA12" s="1">
        <f t="shared" si="9"/>
        <v>0</v>
      </c>
      <c r="AB12" s="1">
        <f t="shared" si="10"/>
        <v>4</v>
      </c>
      <c r="AC12" s="1">
        <f t="shared" si="11"/>
        <v>12</v>
      </c>
      <c r="AD12" s="1">
        <f t="shared" si="12"/>
        <v>3.75</v>
      </c>
      <c r="AE12" s="1">
        <f t="shared" si="13"/>
        <v>0.5</v>
      </c>
      <c r="AF12" s="1">
        <f t="shared" si="14"/>
        <v>4</v>
      </c>
      <c r="AG12" s="1">
        <f t="shared" si="15"/>
        <v>15</v>
      </c>
      <c r="AH12" s="9">
        <f t="shared" si="16"/>
        <v>3.5</v>
      </c>
      <c r="AI12" s="1">
        <f t="shared" si="17"/>
        <v>0.70710678118654757</v>
      </c>
      <c r="AJ12" s="1">
        <f t="shared" si="18"/>
        <v>3.5</v>
      </c>
      <c r="AK12" s="1">
        <f t="shared" si="19"/>
        <v>64</v>
      </c>
    </row>
    <row r="13" spans="1:37">
      <c r="A13" s="1">
        <v>9</v>
      </c>
      <c r="B13" s="1">
        <v>4</v>
      </c>
      <c r="C13" s="1">
        <v>5</v>
      </c>
      <c r="D13" s="1">
        <v>4</v>
      </c>
      <c r="E13" s="1">
        <v>4</v>
      </c>
      <c r="F13" s="1">
        <v>4</v>
      </c>
      <c r="G13" s="1">
        <v>4</v>
      </c>
      <c r="H13" s="1">
        <v>4</v>
      </c>
      <c r="I13" s="1">
        <v>5</v>
      </c>
      <c r="J13" s="1">
        <v>5</v>
      </c>
      <c r="K13" s="1">
        <v>5</v>
      </c>
      <c r="L13" s="1">
        <v>5</v>
      </c>
      <c r="M13" s="1">
        <v>5</v>
      </c>
      <c r="N13" s="1">
        <v>5</v>
      </c>
      <c r="O13" s="1">
        <v>4</v>
      </c>
      <c r="P13" s="1">
        <v>5</v>
      </c>
      <c r="Q13" s="1">
        <v>4</v>
      </c>
      <c r="R13" s="8">
        <f t="shared" si="0"/>
        <v>4.75</v>
      </c>
      <c r="S13" s="14">
        <f t="shared" si="1"/>
        <v>0.5</v>
      </c>
      <c r="T13" s="8">
        <f t="shared" si="2"/>
        <v>5</v>
      </c>
      <c r="U13" s="8">
        <f t="shared" si="3"/>
        <v>19</v>
      </c>
      <c r="V13" s="1">
        <f t="shared" si="4"/>
        <v>4</v>
      </c>
      <c r="W13" s="1">
        <f t="shared" si="5"/>
        <v>0</v>
      </c>
      <c r="X13" s="1">
        <f t="shared" si="6"/>
        <v>4</v>
      </c>
      <c r="Y13" s="1">
        <f t="shared" si="7"/>
        <v>20</v>
      </c>
      <c r="Z13" s="1">
        <f t="shared" si="8"/>
        <v>5</v>
      </c>
      <c r="AA13" s="1">
        <f t="shared" si="9"/>
        <v>0</v>
      </c>
      <c r="AB13" s="1">
        <f t="shared" si="10"/>
        <v>5</v>
      </c>
      <c r="AC13" s="1">
        <f t="shared" si="11"/>
        <v>15</v>
      </c>
      <c r="AD13" s="1">
        <f t="shared" si="12"/>
        <v>4.5</v>
      </c>
      <c r="AE13" s="1">
        <f t="shared" si="13"/>
        <v>0.57735026918962573</v>
      </c>
      <c r="AF13" s="1">
        <f t="shared" si="14"/>
        <v>4.5</v>
      </c>
      <c r="AG13" s="1">
        <f t="shared" si="15"/>
        <v>18</v>
      </c>
      <c r="AH13" s="9">
        <f t="shared" si="16"/>
        <v>4</v>
      </c>
      <c r="AI13" s="1">
        <f t="shared" si="17"/>
        <v>0</v>
      </c>
      <c r="AJ13" s="1">
        <f t="shared" si="18"/>
        <v>4</v>
      </c>
      <c r="AK13" s="1">
        <f t="shared" si="19"/>
        <v>72</v>
      </c>
    </row>
    <row r="14" spans="1:37">
      <c r="A14" s="1">
        <v>10</v>
      </c>
      <c r="B14" s="1">
        <v>4</v>
      </c>
      <c r="C14" s="1">
        <v>5</v>
      </c>
      <c r="D14" s="1">
        <v>4</v>
      </c>
      <c r="E14" s="1">
        <v>5</v>
      </c>
      <c r="F14" s="1">
        <v>5</v>
      </c>
      <c r="G14" s="1">
        <v>5</v>
      </c>
      <c r="H14" s="1">
        <v>5</v>
      </c>
      <c r="I14" s="1">
        <v>5</v>
      </c>
      <c r="J14" s="1">
        <v>5</v>
      </c>
      <c r="K14" s="1">
        <v>5</v>
      </c>
      <c r="L14" s="1">
        <v>5</v>
      </c>
      <c r="M14" s="1">
        <v>5</v>
      </c>
      <c r="N14" s="1">
        <v>5</v>
      </c>
      <c r="O14" s="1">
        <v>5</v>
      </c>
      <c r="P14" s="1">
        <v>5</v>
      </c>
      <c r="Q14" s="1">
        <v>5</v>
      </c>
      <c r="R14" s="8">
        <f t="shared" si="0"/>
        <v>4.75</v>
      </c>
      <c r="S14" s="14">
        <f t="shared" si="1"/>
        <v>0.5</v>
      </c>
      <c r="T14" s="8">
        <f t="shared" si="2"/>
        <v>5</v>
      </c>
      <c r="U14" s="8">
        <f t="shared" si="3"/>
        <v>19</v>
      </c>
      <c r="V14" s="1">
        <f t="shared" si="4"/>
        <v>4.8</v>
      </c>
      <c r="W14" s="1">
        <f t="shared" si="5"/>
        <v>0.44721359549995787</v>
      </c>
      <c r="X14" s="1">
        <f t="shared" si="6"/>
        <v>5</v>
      </c>
      <c r="Y14" s="1">
        <f t="shared" si="7"/>
        <v>24</v>
      </c>
      <c r="Z14" s="1">
        <f t="shared" si="8"/>
        <v>5</v>
      </c>
      <c r="AA14" s="1">
        <f t="shared" si="9"/>
        <v>0</v>
      </c>
      <c r="AB14" s="1">
        <f t="shared" si="10"/>
        <v>5</v>
      </c>
      <c r="AC14" s="1">
        <f t="shared" si="11"/>
        <v>15</v>
      </c>
      <c r="AD14" s="1">
        <f t="shared" si="12"/>
        <v>5</v>
      </c>
      <c r="AE14" s="1">
        <f t="shared" si="13"/>
        <v>0</v>
      </c>
      <c r="AF14" s="1">
        <f t="shared" si="14"/>
        <v>5</v>
      </c>
      <c r="AG14" s="1">
        <f t="shared" si="15"/>
        <v>20</v>
      </c>
      <c r="AH14" s="9">
        <f t="shared" si="16"/>
        <v>4.5</v>
      </c>
      <c r="AI14" s="1">
        <f t="shared" si="17"/>
        <v>0.70710678118654757</v>
      </c>
      <c r="AJ14" s="1">
        <f t="shared" si="18"/>
        <v>4.5</v>
      </c>
      <c r="AK14" s="1">
        <f t="shared" si="19"/>
        <v>78</v>
      </c>
    </row>
    <row r="15" spans="1:37">
      <c r="A15" s="1">
        <v>11</v>
      </c>
      <c r="B15" s="1">
        <v>5</v>
      </c>
      <c r="C15" s="1">
        <v>5</v>
      </c>
      <c r="D15" s="1">
        <v>3</v>
      </c>
      <c r="E15" s="1">
        <v>4</v>
      </c>
      <c r="F15" s="1">
        <v>3</v>
      </c>
      <c r="G15" s="1">
        <v>5</v>
      </c>
      <c r="H15" s="1">
        <v>3</v>
      </c>
      <c r="I15" s="1">
        <v>3</v>
      </c>
      <c r="J15" s="1">
        <v>5</v>
      </c>
      <c r="K15" s="1">
        <v>5</v>
      </c>
      <c r="L15" s="1">
        <v>3</v>
      </c>
      <c r="M15" s="1">
        <v>4</v>
      </c>
      <c r="N15" s="1">
        <v>3</v>
      </c>
      <c r="O15" s="1">
        <v>3</v>
      </c>
      <c r="P15" s="1">
        <v>2</v>
      </c>
      <c r="Q15" s="1">
        <v>4</v>
      </c>
      <c r="R15" s="8">
        <f t="shared" si="0"/>
        <v>5</v>
      </c>
      <c r="S15" s="14">
        <f t="shared" si="1"/>
        <v>0</v>
      </c>
      <c r="T15" s="8">
        <f t="shared" si="2"/>
        <v>5</v>
      </c>
      <c r="U15" s="8">
        <f t="shared" si="3"/>
        <v>20</v>
      </c>
      <c r="V15" s="1">
        <f t="shared" si="4"/>
        <v>3.6</v>
      </c>
      <c r="W15" s="1">
        <f t="shared" si="5"/>
        <v>0.8944271909999163</v>
      </c>
      <c r="X15" s="1">
        <f t="shared" si="6"/>
        <v>3</v>
      </c>
      <c r="Y15" s="1">
        <f t="shared" si="7"/>
        <v>18</v>
      </c>
      <c r="Z15" s="1">
        <f t="shared" si="8"/>
        <v>3.3333333333333335</v>
      </c>
      <c r="AA15" s="1">
        <f t="shared" si="9"/>
        <v>0.57735026918962473</v>
      </c>
      <c r="AB15" s="1">
        <f t="shared" si="10"/>
        <v>3</v>
      </c>
      <c r="AC15" s="1">
        <f t="shared" si="11"/>
        <v>10</v>
      </c>
      <c r="AD15" s="1">
        <f t="shared" si="12"/>
        <v>3</v>
      </c>
      <c r="AE15" s="1">
        <f t="shared" si="13"/>
        <v>0.81649658092772603</v>
      </c>
      <c r="AF15" s="1">
        <f t="shared" si="14"/>
        <v>3</v>
      </c>
      <c r="AG15" s="1">
        <f t="shared" si="15"/>
        <v>12</v>
      </c>
      <c r="AH15" s="9">
        <f t="shared" si="16"/>
        <v>4.5</v>
      </c>
      <c r="AI15" s="1">
        <f t="shared" si="17"/>
        <v>0.70710678118654757</v>
      </c>
      <c r="AJ15" s="1">
        <f t="shared" si="18"/>
        <v>4.5</v>
      </c>
      <c r="AK15" s="1">
        <f t="shared" si="19"/>
        <v>60</v>
      </c>
    </row>
    <row r="16" spans="1:37">
      <c r="A16" s="1">
        <v>12</v>
      </c>
      <c r="B16" s="1">
        <v>5</v>
      </c>
      <c r="C16" s="1">
        <v>3</v>
      </c>
      <c r="D16" s="1">
        <v>5</v>
      </c>
      <c r="E16" s="1">
        <v>4</v>
      </c>
      <c r="F16" s="1">
        <v>5</v>
      </c>
      <c r="G16" s="1">
        <v>4</v>
      </c>
      <c r="H16" s="1">
        <v>4</v>
      </c>
      <c r="I16" s="1">
        <v>4</v>
      </c>
      <c r="J16" s="1">
        <v>2</v>
      </c>
      <c r="K16" s="1">
        <v>4</v>
      </c>
      <c r="L16" s="1">
        <v>4</v>
      </c>
      <c r="M16" s="1">
        <v>4</v>
      </c>
      <c r="N16" s="1">
        <v>4</v>
      </c>
      <c r="O16" s="1">
        <v>4</v>
      </c>
      <c r="P16" s="1">
        <v>3</v>
      </c>
      <c r="Q16" s="1">
        <v>3</v>
      </c>
      <c r="R16" s="8">
        <f t="shared" si="0"/>
        <v>3.5</v>
      </c>
      <c r="S16" s="14">
        <f t="shared" si="1"/>
        <v>1.2909944487358056</v>
      </c>
      <c r="T16" s="8">
        <f t="shared" si="2"/>
        <v>3.5</v>
      </c>
      <c r="U16" s="8">
        <f t="shared" si="3"/>
        <v>14</v>
      </c>
      <c r="V16" s="1">
        <f t="shared" si="4"/>
        <v>4.4000000000000004</v>
      </c>
      <c r="W16" s="1">
        <f t="shared" si="5"/>
        <v>0.54772255750516674</v>
      </c>
      <c r="X16" s="1">
        <f t="shared" si="6"/>
        <v>4</v>
      </c>
      <c r="Y16" s="1">
        <f t="shared" si="7"/>
        <v>22</v>
      </c>
      <c r="Z16" s="1">
        <f t="shared" si="8"/>
        <v>4</v>
      </c>
      <c r="AA16" s="1">
        <f t="shared" si="9"/>
        <v>0</v>
      </c>
      <c r="AB16" s="1">
        <f t="shared" si="10"/>
        <v>4</v>
      </c>
      <c r="AC16" s="1">
        <f t="shared" si="11"/>
        <v>12</v>
      </c>
      <c r="AD16" s="1">
        <f t="shared" si="12"/>
        <v>3.5</v>
      </c>
      <c r="AE16" s="1">
        <f t="shared" si="13"/>
        <v>0.57735026918962573</v>
      </c>
      <c r="AF16" s="1">
        <f t="shared" si="14"/>
        <v>3.5</v>
      </c>
      <c r="AG16" s="1">
        <f t="shared" si="15"/>
        <v>14</v>
      </c>
      <c r="AH16" s="9">
        <f t="shared" si="16"/>
        <v>4</v>
      </c>
      <c r="AI16" s="1">
        <f t="shared" si="17"/>
        <v>1.4142135623730951</v>
      </c>
      <c r="AJ16" s="1">
        <f t="shared" si="18"/>
        <v>4</v>
      </c>
      <c r="AK16" s="1">
        <f t="shared" si="19"/>
        <v>62</v>
      </c>
    </row>
    <row r="17" spans="1:37">
      <c r="A17" s="1">
        <v>13</v>
      </c>
      <c r="B17" s="1">
        <v>5</v>
      </c>
      <c r="C17" s="1">
        <v>5</v>
      </c>
      <c r="D17" s="1">
        <v>4</v>
      </c>
      <c r="E17" s="1">
        <v>4</v>
      </c>
      <c r="F17" s="1">
        <v>4</v>
      </c>
      <c r="G17" s="1">
        <v>5</v>
      </c>
      <c r="H17" s="1">
        <v>4</v>
      </c>
      <c r="I17" s="1">
        <v>3</v>
      </c>
      <c r="J17" s="1">
        <v>4</v>
      </c>
      <c r="K17" s="1">
        <v>4</v>
      </c>
      <c r="L17" s="1">
        <v>4</v>
      </c>
      <c r="M17" s="1">
        <v>4</v>
      </c>
      <c r="N17" s="1">
        <v>4</v>
      </c>
      <c r="O17" s="1">
        <v>4</v>
      </c>
      <c r="P17" s="1">
        <v>3</v>
      </c>
      <c r="Q17" s="1">
        <v>3</v>
      </c>
      <c r="R17" s="8">
        <f t="shared" si="0"/>
        <v>4.5</v>
      </c>
      <c r="S17" s="14">
        <f t="shared" si="1"/>
        <v>0.57735026918962573</v>
      </c>
      <c r="T17" s="8">
        <f t="shared" si="2"/>
        <v>4.5</v>
      </c>
      <c r="U17" s="8">
        <f t="shared" si="3"/>
        <v>18</v>
      </c>
      <c r="V17" s="1">
        <f t="shared" si="4"/>
        <v>4.2</v>
      </c>
      <c r="W17" s="1">
        <f t="shared" si="5"/>
        <v>0.44721359549995793</v>
      </c>
      <c r="X17" s="1">
        <f t="shared" si="6"/>
        <v>4</v>
      </c>
      <c r="Y17" s="1">
        <f t="shared" si="7"/>
        <v>21</v>
      </c>
      <c r="Z17" s="1">
        <f t="shared" si="8"/>
        <v>3.6666666666666665</v>
      </c>
      <c r="AA17" s="1">
        <f t="shared" si="9"/>
        <v>0.57735026918962473</v>
      </c>
      <c r="AB17" s="1">
        <f t="shared" si="10"/>
        <v>4</v>
      </c>
      <c r="AC17" s="1">
        <f t="shared" si="11"/>
        <v>11</v>
      </c>
      <c r="AD17" s="1">
        <f t="shared" si="12"/>
        <v>3.5</v>
      </c>
      <c r="AE17" s="1">
        <f t="shared" si="13"/>
        <v>0.57735026918962573</v>
      </c>
      <c r="AF17" s="1">
        <f t="shared" si="14"/>
        <v>3.5</v>
      </c>
      <c r="AG17" s="1">
        <f t="shared" si="15"/>
        <v>14</v>
      </c>
      <c r="AH17" s="9">
        <f t="shared" si="16"/>
        <v>4</v>
      </c>
      <c r="AI17" s="1">
        <f t="shared" si="17"/>
        <v>1.4142135623730951</v>
      </c>
      <c r="AJ17" s="1">
        <f t="shared" si="18"/>
        <v>4</v>
      </c>
      <c r="AK17" s="1">
        <f t="shared" si="19"/>
        <v>64</v>
      </c>
    </row>
    <row r="18" spans="1:37">
      <c r="A18" s="1">
        <v>14</v>
      </c>
      <c r="B18" s="1">
        <v>5</v>
      </c>
      <c r="C18" s="1">
        <v>5</v>
      </c>
      <c r="D18" s="1">
        <v>4</v>
      </c>
      <c r="E18" s="1">
        <v>4</v>
      </c>
      <c r="F18" s="1">
        <v>4</v>
      </c>
      <c r="G18" s="1">
        <v>5</v>
      </c>
      <c r="H18" s="1">
        <v>4</v>
      </c>
      <c r="I18" s="1">
        <v>3</v>
      </c>
      <c r="J18" s="1">
        <v>5</v>
      </c>
      <c r="K18" s="1">
        <v>5</v>
      </c>
      <c r="L18" s="1">
        <v>5</v>
      </c>
      <c r="M18" s="1">
        <v>5</v>
      </c>
      <c r="N18" s="1">
        <v>5</v>
      </c>
      <c r="O18" s="1">
        <v>5</v>
      </c>
      <c r="P18" s="1">
        <v>4</v>
      </c>
      <c r="Q18" s="1">
        <v>4</v>
      </c>
      <c r="R18" s="8">
        <f t="shared" si="0"/>
        <v>5</v>
      </c>
      <c r="S18" s="14">
        <f t="shared" si="1"/>
        <v>0</v>
      </c>
      <c r="T18" s="8">
        <f t="shared" si="2"/>
        <v>5</v>
      </c>
      <c r="U18" s="8">
        <f t="shared" si="3"/>
        <v>20</v>
      </c>
      <c r="V18" s="1">
        <f t="shared" si="4"/>
        <v>4.2</v>
      </c>
      <c r="W18" s="1">
        <f t="shared" si="5"/>
        <v>0.44721359549995793</v>
      </c>
      <c r="X18" s="1">
        <f t="shared" si="6"/>
        <v>4</v>
      </c>
      <c r="Y18" s="1">
        <f t="shared" si="7"/>
        <v>21</v>
      </c>
      <c r="Z18" s="1">
        <f t="shared" si="8"/>
        <v>4.333333333333333</v>
      </c>
      <c r="AA18" s="1">
        <f t="shared" si="9"/>
        <v>1.154700538379251</v>
      </c>
      <c r="AB18" s="1">
        <f t="shared" si="10"/>
        <v>5</v>
      </c>
      <c r="AC18" s="1">
        <f t="shared" si="11"/>
        <v>13</v>
      </c>
      <c r="AD18" s="1">
        <f t="shared" si="12"/>
        <v>4.5</v>
      </c>
      <c r="AE18" s="1">
        <f t="shared" si="13"/>
        <v>0.57735026918962573</v>
      </c>
      <c r="AF18" s="1">
        <f t="shared" si="14"/>
        <v>4.5</v>
      </c>
      <c r="AG18" s="1">
        <f t="shared" si="15"/>
        <v>18</v>
      </c>
      <c r="AH18" s="9">
        <f t="shared" si="16"/>
        <v>4.5</v>
      </c>
      <c r="AI18" s="1">
        <f t="shared" si="17"/>
        <v>0.70710678118654757</v>
      </c>
      <c r="AJ18" s="1">
        <f t="shared" si="18"/>
        <v>4.5</v>
      </c>
      <c r="AK18" s="1">
        <f t="shared" si="19"/>
        <v>72</v>
      </c>
    </row>
    <row r="19" spans="1:37">
      <c r="A19" s="1">
        <v>15</v>
      </c>
      <c r="B19" s="1">
        <v>3</v>
      </c>
      <c r="C19" s="1">
        <v>3</v>
      </c>
      <c r="D19" s="1">
        <v>1</v>
      </c>
      <c r="E19" s="1">
        <v>1</v>
      </c>
      <c r="F19" s="1">
        <v>4</v>
      </c>
      <c r="G19" s="1">
        <v>4</v>
      </c>
      <c r="H19" s="1">
        <v>1</v>
      </c>
      <c r="I19" s="1">
        <v>5</v>
      </c>
      <c r="J19" s="1">
        <v>3</v>
      </c>
      <c r="K19" s="1">
        <v>4</v>
      </c>
      <c r="L19" s="1">
        <v>2</v>
      </c>
      <c r="M19" s="1">
        <v>5</v>
      </c>
      <c r="N19" s="1">
        <v>4</v>
      </c>
      <c r="O19" s="1">
        <v>4</v>
      </c>
      <c r="P19" s="1">
        <v>4</v>
      </c>
      <c r="Q19" s="1">
        <v>5</v>
      </c>
      <c r="R19" s="8">
        <f t="shared" si="0"/>
        <v>3.25</v>
      </c>
      <c r="S19" s="14">
        <f t="shared" si="1"/>
        <v>0.5</v>
      </c>
      <c r="T19" s="8">
        <f t="shared" si="2"/>
        <v>3</v>
      </c>
      <c r="U19" s="8">
        <f t="shared" si="3"/>
        <v>13</v>
      </c>
      <c r="V19" s="1">
        <f t="shared" si="4"/>
        <v>2.2000000000000002</v>
      </c>
      <c r="W19" s="1">
        <f t="shared" si="5"/>
        <v>1.6431676725154984</v>
      </c>
      <c r="X19" s="1">
        <f t="shared" si="6"/>
        <v>1</v>
      </c>
      <c r="Y19" s="1">
        <f t="shared" si="7"/>
        <v>11</v>
      </c>
      <c r="Z19" s="1">
        <f t="shared" si="8"/>
        <v>4</v>
      </c>
      <c r="AA19" s="1">
        <f t="shared" si="9"/>
        <v>1.7320508075688772</v>
      </c>
      <c r="AB19" s="1">
        <f t="shared" si="10"/>
        <v>5</v>
      </c>
      <c r="AC19" s="1">
        <f t="shared" si="11"/>
        <v>12</v>
      </c>
      <c r="AD19" s="1">
        <f t="shared" si="12"/>
        <v>4.25</v>
      </c>
      <c r="AE19" s="1">
        <f t="shared" si="13"/>
        <v>0.5</v>
      </c>
      <c r="AF19" s="1">
        <f t="shared" si="14"/>
        <v>4</v>
      </c>
      <c r="AG19" s="1">
        <f t="shared" si="15"/>
        <v>17</v>
      </c>
      <c r="AH19" s="9">
        <f t="shared" si="16"/>
        <v>4</v>
      </c>
      <c r="AI19" s="1">
        <f t="shared" si="17"/>
        <v>1.4142135623730951</v>
      </c>
      <c r="AJ19" s="1">
        <f t="shared" si="18"/>
        <v>4</v>
      </c>
      <c r="AK19" s="1">
        <f t="shared" si="19"/>
        <v>53</v>
      </c>
    </row>
    <row r="20" spans="1:37">
      <c r="A20" s="1">
        <v>16</v>
      </c>
      <c r="B20" s="1">
        <v>5</v>
      </c>
      <c r="C20" s="1">
        <v>5</v>
      </c>
      <c r="D20" s="1">
        <v>3</v>
      </c>
      <c r="E20" s="1">
        <v>2</v>
      </c>
      <c r="F20" s="1">
        <v>4</v>
      </c>
      <c r="G20" s="1">
        <v>4</v>
      </c>
      <c r="H20" s="1">
        <v>2</v>
      </c>
      <c r="I20" s="1">
        <v>2</v>
      </c>
      <c r="J20" s="1">
        <v>5</v>
      </c>
      <c r="K20" s="1">
        <v>5</v>
      </c>
      <c r="L20" s="1">
        <v>3</v>
      </c>
      <c r="M20" s="1">
        <v>4</v>
      </c>
      <c r="N20" s="1">
        <v>2</v>
      </c>
      <c r="O20" s="1">
        <v>2</v>
      </c>
      <c r="P20" s="1">
        <v>1</v>
      </c>
      <c r="Q20" s="1">
        <v>1</v>
      </c>
      <c r="R20" s="8">
        <f t="shared" si="0"/>
        <v>5</v>
      </c>
      <c r="S20" s="14">
        <f t="shared" si="1"/>
        <v>0</v>
      </c>
      <c r="T20" s="8">
        <f t="shared" si="2"/>
        <v>5</v>
      </c>
      <c r="U20" s="8">
        <f t="shared" si="3"/>
        <v>20</v>
      </c>
      <c r="V20" s="1">
        <f t="shared" si="4"/>
        <v>3</v>
      </c>
      <c r="W20" s="1">
        <f t="shared" si="5"/>
        <v>1</v>
      </c>
      <c r="X20" s="1">
        <f t="shared" si="6"/>
        <v>3</v>
      </c>
      <c r="Y20" s="1">
        <f t="shared" si="7"/>
        <v>15</v>
      </c>
      <c r="Z20" s="1">
        <f t="shared" si="8"/>
        <v>3</v>
      </c>
      <c r="AA20" s="1">
        <f t="shared" si="9"/>
        <v>1</v>
      </c>
      <c r="AB20" s="1">
        <f t="shared" si="10"/>
        <v>3</v>
      </c>
      <c r="AC20" s="1">
        <f t="shared" si="11"/>
        <v>9</v>
      </c>
      <c r="AD20" s="1">
        <f t="shared" si="12"/>
        <v>1.5</v>
      </c>
      <c r="AE20" s="1">
        <f t="shared" si="13"/>
        <v>0.57735026918962573</v>
      </c>
      <c r="AF20" s="1">
        <f t="shared" si="14"/>
        <v>1.5</v>
      </c>
      <c r="AG20" s="1">
        <f t="shared" si="15"/>
        <v>6</v>
      </c>
      <c r="AH20" s="9">
        <f t="shared" si="16"/>
        <v>3</v>
      </c>
      <c r="AI20" s="1">
        <f t="shared" si="17"/>
        <v>2.8284271247461903</v>
      </c>
      <c r="AJ20" s="1">
        <f t="shared" si="18"/>
        <v>3</v>
      </c>
      <c r="AK20" s="1">
        <f t="shared" si="19"/>
        <v>50</v>
      </c>
    </row>
    <row r="21" spans="1:37">
      <c r="A21" s="1">
        <v>17</v>
      </c>
      <c r="B21" s="1">
        <v>3</v>
      </c>
      <c r="C21" s="1">
        <v>3</v>
      </c>
      <c r="D21" s="1">
        <v>3</v>
      </c>
      <c r="E21" s="1">
        <v>4</v>
      </c>
      <c r="F21" s="1">
        <v>4</v>
      </c>
      <c r="G21" s="1">
        <v>4</v>
      </c>
      <c r="H21" s="1">
        <v>3</v>
      </c>
      <c r="I21" s="1">
        <v>4</v>
      </c>
      <c r="J21" s="1">
        <v>3</v>
      </c>
      <c r="K21" s="1">
        <v>4</v>
      </c>
      <c r="L21" s="1">
        <v>3</v>
      </c>
      <c r="M21" s="1">
        <v>4</v>
      </c>
      <c r="N21" s="1">
        <v>4</v>
      </c>
      <c r="O21" s="1">
        <v>4</v>
      </c>
      <c r="P21" s="1">
        <v>3</v>
      </c>
      <c r="Q21" s="1">
        <v>3</v>
      </c>
      <c r="R21" s="8">
        <f t="shared" si="0"/>
        <v>3.25</v>
      </c>
      <c r="S21" s="14">
        <f t="shared" si="1"/>
        <v>0.5</v>
      </c>
      <c r="T21" s="8">
        <f t="shared" si="2"/>
        <v>3</v>
      </c>
      <c r="U21" s="8">
        <f t="shared" si="3"/>
        <v>13</v>
      </c>
      <c r="V21" s="1">
        <f t="shared" si="4"/>
        <v>3.6</v>
      </c>
      <c r="W21" s="1">
        <f t="shared" si="5"/>
        <v>0.54772255750516674</v>
      </c>
      <c r="X21" s="1">
        <f t="shared" si="6"/>
        <v>4</v>
      </c>
      <c r="Y21" s="1">
        <f t="shared" si="7"/>
        <v>18</v>
      </c>
      <c r="Z21" s="1">
        <f t="shared" si="8"/>
        <v>3.6666666666666665</v>
      </c>
      <c r="AA21" s="1">
        <f t="shared" si="9"/>
        <v>0.57735026918962473</v>
      </c>
      <c r="AB21" s="1">
        <f t="shared" si="10"/>
        <v>4</v>
      </c>
      <c r="AC21" s="1">
        <f t="shared" si="11"/>
        <v>11</v>
      </c>
      <c r="AD21" s="1">
        <f t="shared" si="12"/>
        <v>3.5</v>
      </c>
      <c r="AE21" s="1">
        <f t="shared" si="13"/>
        <v>0.57735026918962573</v>
      </c>
      <c r="AF21" s="1">
        <f t="shared" si="14"/>
        <v>3.5</v>
      </c>
      <c r="AG21" s="1">
        <f t="shared" si="15"/>
        <v>14</v>
      </c>
      <c r="AH21" s="9">
        <f t="shared" si="16"/>
        <v>3</v>
      </c>
      <c r="AI21" s="1">
        <f t="shared" si="17"/>
        <v>0</v>
      </c>
      <c r="AJ21" s="1">
        <f t="shared" si="18"/>
        <v>3</v>
      </c>
      <c r="AK21" s="1">
        <f t="shared" si="19"/>
        <v>56</v>
      </c>
    </row>
    <row r="22" spans="1:37">
      <c r="A22" s="1">
        <v>18</v>
      </c>
      <c r="B22" s="1">
        <v>5</v>
      </c>
      <c r="C22" s="1">
        <v>5</v>
      </c>
      <c r="D22" s="1">
        <v>5</v>
      </c>
      <c r="E22" s="1">
        <v>5</v>
      </c>
      <c r="F22" s="1">
        <v>4</v>
      </c>
      <c r="G22" s="1">
        <v>4</v>
      </c>
      <c r="H22" s="1">
        <v>4</v>
      </c>
      <c r="I22" s="1">
        <v>4</v>
      </c>
      <c r="J22" s="1">
        <v>5</v>
      </c>
      <c r="K22" s="1">
        <v>5</v>
      </c>
      <c r="L22" s="1">
        <v>4</v>
      </c>
      <c r="M22" s="1">
        <v>5</v>
      </c>
      <c r="N22" s="1">
        <v>4</v>
      </c>
      <c r="O22" s="1">
        <v>3</v>
      </c>
      <c r="P22" s="1">
        <v>3</v>
      </c>
      <c r="Q22" s="1">
        <v>3</v>
      </c>
      <c r="R22" s="8">
        <f t="shared" si="0"/>
        <v>5</v>
      </c>
      <c r="S22" s="14">
        <f t="shared" si="1"/>
        <v>0</v>
      </c>
      <c r="T22" s="8">
        <f t="shared" si="2"/>
        <v>5</v>
      </c>
      <c r="U22" s="8">
        <f t="shared" si="3"/>
        <v>20</v>
      </c>
      <c r="V22" s="1">
        <f t="shared" si="4"/>
        <v>4.4000000000000004</v>
      </c>
      <c r="W22" s="1">
        <f t="shared" si="5"/>
        <v>0.54772255750516674</v>
      </c>
      <c r="X22" s="1">
        <f t="shared" si="6"/>
        <v>4</v>
      </c>
      <c r="Y22" s="1">
        <f t="shared" si="7"/>
        <v>22</v>
      </c>
      <c r="Z22" s="1">
        <f t="shared" si="8"/>
        <v>4.333333333333333</v>
      </c>
      <c r="AA22" s="1">
        <f t="shared" si="9"/>
        <v>0.57735026918962473</v>
      </c>
      <c r="AB22" s="1">
        <f t="shared" si="10"/>
        <v>4</v>
      </c>
      <c r="AC22" s="1">
        <f t="shared" si="11"/>
        <v>13</v>
      </c>
      <c r="AD22" s="1">
        <f t="shared" si="12"/>
        <v>3.25</v>
      </c>
      <c r="AE22" s="1">
        <f t="shared" si="13"/>
        <v>0.5</v>
      </c>
      <c r="AF22" s="1">
        <f t="shared" si="14"/>
        <v>3</v>
      </c>
      <c r="AG22" s="1">
        <f t="shared" si="15"/>
        <v>13</v>
      </c>
      <c r="AH22" s="9">
        <f t="shared" si="16"/>
        <v>4</v>
      </c>
      <c r="AI22" s="1">
        <f t="shared" si="17"/>
        <v>1.4142135623730951</v>
      </c>
      <c r="AJ22" s="1">
        <f t="shared" si="18"/>
        <v>4</v>
      </c>
      <c r="AK22" s="1">
        <f t="shared" si="19"/>
        <v>68</v>
      </c>
    </row>
    <row r="23" spans="1:37">
      <c r="A23" s="1">
        <v>19</v>
      </c>
      <c r="B23" s="1">
        <v>5</v>
      </c>
      <c r="C23" s="1">
        <v>5</v>
      </c>
      <c r="D23" s="1">
        <v>4</v>
      </c>
      <c r="E23" s="1">
        <v>4</v>
      </c>
      <c r="F23" s="1">
        <v>4</v>
      </c>
      <c r="G23" s="1">
        <v>3</v>
      </c>
      <c r="H23" s="1">
        <v>3</v>
      </c>
      <c r="I23" s="1">
        <v>4</v>
      </c>
      <c r="J23" s="1">
        <v>5</v>
      </c>
      <c r="K23" s="1">
        <v>5</v>
      </c>
      <c r="L23" s="1">
        <v>4</v>
      </c>
      <c r="M23" s="1">
        <v>4</v>
      </c>
      <c r="N23" s="1">
        <v>4</v>
      </c>
      <c r="O23" s="1">
        <v>3</v>
      </c>
      <c r="P23" s="1">
        <v>4</v>
      </c>
      <c r="Q23" s="1">
        <v>4</v>
      </c>
      <c r="R23" s="8">
        <f t="shared" si="0"/>
        <v>5</v>
      </c>
      <c r="S23" s="14">
        <f t="shared" si="1"/>
        <v>0</v>
      </c>
      <c r="T23" s="8">
        <f t="shared" si="2"/>
        <v>5</v>
      </c>
      <c r="U23" s="8">
        <f t="shared" si="3"/>
        <v>20</v>
      </c>
      <c r="V23" s="1">
        <f t="shared" si="4"/>
        <v>3.6</v>
      </c>
      <c r="W23" s="1">
        <f t="shared" si="5"/>
        <v>0.54772255750516674</v>
      </c>
      <c r="X23" s="1">
        <f t="shared" si="6"/>
        <v>4</v>
      </c>
      <c r="Y23" s="1">
        <f t="shared" si="7"/>
        <v>18</v>
      </c>
      <c r="Z23" s="1">
        <f t="shared" si="8"/>
        <v>4</v>
      </c>
      <c r="AA23" s="1">
        <f t="shared" si="9"/>
        <v>0</v>
      </c>
      <c r="AB23" s="1">
        <f t="shared" si="10"/>
        <v>4</v>
      </c>
      <c r="AC23" s="1">
        <f t="shared" si="11"/>
        <v>12</v>
      </c>
      <c r="AD23" s="1">
        <f t="shared" si="12"/>
        <v>3.75</v>
      </c>
      <c r="AE23" s="1">
        <f t="shared" si="13"/>
        <v>0.5</v>
      </c>
      <c r="AF23" s="1">
        <f t="shared" si="14"/>
        <v>4</v>
      </c>
      <c r="AG23" s="1">
        <f t="shared" si="15"/>
        <v>15</v>
      </c>
      <c r="AH23" s="9">
        <f t="shared" si="16"/>
        <v>4.5</v>
      </c>
      <c r="AI23" s="1">
        <f t="shared" si="17"/>
        <v>0.70710678118654757</v>
      </c>
      <c r="AJ23" s="1">
        <f t="shared" si="18"/>
        <v>4.5</v>
      </c>
      <c r="AK23" s="1">
        <f t="shared" si="19"/>
        <v>65</v>
      </c>
    </row>
    <row r="24" spans="1:37">
      <c r="A24" s="1">
        <v>20</v>
      </c>
      <c r="B24" s="1">
        <v>4</v>
      </c>
      <c r="C24" s="1">
        <v>5</v>
      </c>
      <c r="D24" s="1">
        <v>4</v>
      </c>
      <c r="E24" s="1">
        <v>4</v>
      </c>
      <c r="F24" s="1">
        <v>5</v>
      </c>
      <c r="G24" s="1">
        <v>5</v>
      </c>
      <c r="H24" s="1">
        <v>4</v>
      </c>
      <c r="I24" s="1">
        <v>5</v>
      </c>
      <c r="J24" s="1">
        <v>5</v>
      </c>
      <c r="K24" s="1">
        <v>5</v>
      </c>
      <c r="L24" s="1">
        <v>5</v>
      </c>
      <c r="M24" s="1">
        <v>5</v>
      </c>
      <c r="N24" s="1">
        <v>5</v>
      </c>
      <c r="O24" s="1">
        <v>5</v>
      </c>
      <c r="P24" s="1">
        <v>4</v>
      </c>
      <c r="Q24" s="1">
        <v>4</v>
      </c>
      <c r="R24" s="8">
        <f t="shared" si="0"/>
        <v>4.75</v>
      </c>
      <c r="S24" s="14">
        <f t="shared" si="1"/>
        <v>0.5</v>
      </c>
      <c r="T24" s="8">
        <f t="shared" si="2"/>
        <v>5</v>
      </c>
      <c r="U24" s="8">
        <f t="shared" si="3"/>
        <v>19</v>
      </c>
      <c r="V24" s="1">
        <f t="shared" si="4"/>
        <v>4.4000000000000004</v>
      </c>
      <c r="W24" s="1">
        <f t="shared" si="5"/>
        <v>0.54772255750516674</v>
      </c>
      <c r="X24" s="1">
        <f t="shared" si="6"/>
        <v>4</v>
      </c>
      <c r="Y24" s="1">
        <f t="shared" si="7"/>
        <v>22</v>
      </c>
      <c r="Z24" s="1">
        <f t="shared" si="8"/>
        <v>5</v>
      </c>
      <c r="AA24" s="1">
        <f t="shared" si="9"/>
        <v>0</v>
      </c>
      <c r="AB24" s="1">
        <f t="shared" si="10"/>
        <v>5</v>
      </c>
      <c r="AC24" s="1">
        <f t="shared" si="11"/>
        <v>15</v>
      </c>
      <c r="AD24" s="1">
        <f t="shared" si="12"/>
        <v>4.5</v>
      </c>
      <c r="AE24" s="1">
        <f t="shared" si="13"/>
        <v>0.57735026918962573</v>
      </c>
      <c r="AF24" s="1">
        <f t="shared" si="14"/>
        <v>4.5</v>
      </c>
      <c r="AG24" s="1">
        <f t="shared" si="15"/>
        <v>18</v>
      </c>
      <c r="AH24" s="9">
        <f t="shared" si="16"/>
        <v>4</v>
      </c>
      <c r="AI24" s="1">
        <f t="shared" si="17"/>
        <v>0</v>
      </c>
      <c r="AJ24" s="1">
        <f t="shared" si="18"/>
        <v>4</v>
      </c>
      <c r="AK24" s="1">
        <f t="shared" si="19"/>
        <v>74</v>
      </c>
    </row>
    <row r="25" spans="1:37">
      <c r="A25" s="1">
        <v>21</v>
      </c>
      <c r="B25" s="1">
        <v>5</v>
      </c>
      <c r="C25" s="1">
        <v>5</v>
      </c>
      <c r="D25" s="1">
        <v>3</v>
      </c>
      <c r="E25" s="1">
        <v>3</v>
      </c>
      <c r="F25" s="1">
        <v>2</v>
      </c>
      <c r="G25" s="1">
        <v>2</v>
      </c>
      <c r="H25" s="1">
        <v>2</v>
      </c>
      <c r="I25" s="1">
        <v>2</v>
      </c>
      <c r="J25" s="1">
        <v>5</v>
      </c>
      <c r="K25" s="1">
        <v>5</v>
      </c>
      <c r="L25" s="1">
        <v>2</v>
      </c>
      <c r="M25" s="1">
        <v>2</v>
      </c>
      <c r="N25" s="1">
        <v>3</v>
      </c>
      <c r="O25" s="1">
        <v>2</v>
      </c>
      <c r="P25" s="1">
        <v>2</v>
      </c>
      <c r="Q25" s="1">
        <v>1</v>
      </c>
      <c r="R25" s="8">
        <f t="shared" si="0"/>
        <v>5</v>
      </c>
      <c r="S25" s="14">
        <f t="shared" si="1"/>
        <v>0</v>
      </c>
      <c r="T25" s="8">
        <f t="shared" si="2"/>
        <v>5</v>
      </c>
      <c r="U25" s="8">
        <f t="shared" si="3"/>
        <v>20</v>
      </c>
      <c r="V25" s="1">
        <f t="shared" si="4"/>
        <v>2.4</v>
      </c>
      <c r="W25" s="1">
        <f t="shared" si="5"/>
        <v>0.54772255750516596</v>
      </c>
      <c r="X25" s="1">
        <f t="shared" si="6"/>
        <v>2</v>
      </c>
      <c r="Y25" s="1">
        <f t="shared" si="7"/>
        <v>12</v>
      </c>
      <c r="Z25" s="1">
        <f t="shared" si="8"/>
        <v>2</v>
      </c>
      <c r="AA25" s="1">
        <f t="shared" si="9"/>
        <v>0</v>
      </c>
      <c r="AB25" s="1">
        <f t="shared" si="10"/>
        <v>2</v>
      </c>
      <c r="AC25" s="1">
        <f t="shared" si="11"/>
        <v>6</v>
      </c>
      <c r="AD25" s="1">
        <f t="shared" si="12"/>
        <v>2</v>
      </c>
      <c r="AE25" s="1">
        <f t="shared" si="13"/>
        <v>0.81649658092772603</v>
      </c>
      <c r="AF25" s="1">
        <f t="shared" si="14"/>
        <v>2</v>
      </c>
      <c r="AG25" s="1">
        <f t="shared" si="15"/>
        <v>8</v>
      </c>
      <c r="AH25" s="9">
        <f t="shared" si="16"/>
        <v>3</v>
      </c>
      <c r="AI25" s="1">
        <f t="shared" si="17"/>
        <v>2.8284271247461903</v>
      </c>
      <c r="AJ25" s="1">
        <f t="shared" si="18"/>
        <v>3</v>
      </c>
      <c r="AK25" s="1">
        <f t="shared" si="19"/>
        <v>46</v>
      </c>
    </row>
    <row r="26" spans="1:37">
      <c r="A26" s="1">
        <v>22</v>
      </c>
      <c r="B26" s="1">
        <v>5</v>
      </c>
      <c r="C26" s="1">
        <v>5</v>
      </c>
      <c r="D26" s="1">
        <v>4</v>
      </c>
      <c r="E26" s="1">
        <v>5</v>
      </c>
      <c r="F26" s="1">
        <v>5</v>
      </c>
      <c r="G26" s="1">
        <v>4</v>
      </c>
      <c r="H26" s="1">
        <v>4</v>
      </c>
      <c r="I26" s="1">
        <v>4</v>
      </c>
      <c r="J26" s="1">
        <v>5</v>
      </c>
      <c r="K26" s="1">
        <v>5</v>
      </c>
      <c r="L26" s="1">
        <v>5</v>
      </c>
      <c r="M26" s="1">
        <v>5</v>
      </c>
      <c r="N26" s="1">
        <v>4</v>
      </c>
      <c r="O26" s="1">
        <v>4</v>
      </c>
      <c r="P26" s="1">
        <v>3</v>
      </c>
      <c r="Q26" s="1">
        <v>4</v>
      </c>
      <c r="R26" s="8">
        <f t="shared" si="0"/>
        <v>5</v>
      </c>
      <c r="S26" s="14">
        <f t="shared" si="1"/>
        <v>0</v>
      </c>
      <c r="T26" s="8">
        <f t="shared" si="2"/>
        <v>5</v>
      </c>
      <c r="U26" s="8">
        <f t="shared" si="3"/>
        <v>20</v>
      </c>
      <c r="V26" s="1">
        <f t="shared" si="4"/>
        <v>4.4000000000000004</v>
      </c>
      <c r="W26" s="1">
        <f t="shared" si="5"/>
        <v>0.54772255750516674</v>
      </c>
      <c r="X26" s="1">
        <f t="shared" si="6"/>
        <v>4</v>
      </c>
      <c r="Y26" s="1">
        <f t="shared" si="7"/>
        <v>22</v>
      </c>
      <c r="Z26" s="1">
        <f t="shared" si="8"/>
        <v>4.666666666666667</v>
      </c>
      <c r="AA26" s="1">
        <f t="shared" si="9"/>
        <v>0.57735026918962784</v>
      </c>
      <c r="AB26" s="1">
        <f t="shared" si="10"/>
        <v>5</v>
      </c>
      <c r="AC26" s="1">
        <f t="shared" si="11"/>
        <v>14</v>
      </c>
      <c r="AD26" s="1">
        <f t="shared" si="12"/>
        <v>3.75</v>
      </c>
      <c r="AE26" s="1">
        <f t="shared" si="13"/>
        <v>0.5</v>
      </c>
      <c r="AF26" s="1">
        <f t="shared" si="14"/>
        <v>4</v>
      </c>
      <c r="AG26" s="1">
        <f t="shared" si="15"/>
        <v>15</v>
      </c>
      <c r="AH26" s="9">
        <f t="shared" si="16"/>
        <v>4.5</v>
      </c>
      <c r="AI26" s="1">
        <f t="shared" si="17"/>
        <v>0.70710678118654757</v>
      </c>
      <c r="AJ26" s="1">
        <f t="shared" si="18"/>
        <v>4.5</v>
      </c>
      <c r="AK26" s="1">
        <f t="shared" si="19"/>
        <v>71</v>
      </c>
    </row>
    <row r="27" spans="1:37">
      <c r="A27" s="1">
        <v>23</v>
      </c>
      <c r="B27" s="1">
        <v>5</v>
      </c>
      <c r="C27" s="1">
        <v>5</v>
      </c>
      <c r="D27" s="1">
        <v>4</v>
      </c>
      <c r="E27" s="1">
        <v>5</v>
      </c>
      <c r="F27" s="1">
        <v>5</v>
      </c>
      <c r="G27" s="1">
        <v>5</v>
      </c>
      <c r="H27" s="1">
        <v>5</v>
      </c>
      <c r="I27" s="1">
        <v>5</v>
      </c>
      <c r="J27" s="1">
        <v>5</v>
      </c>
      <c r="K27" s="1">
        <v>5</v>
      </c>
      <c r="L27" s="1">
        <v>5</v>
      </c>
      <c r="M27" s="1">
        <v>5</v>
      </c>
      <c r="N27" s="1">
        <v>5</v>
      </c>
      <c r="O27" s="1">
        <v>5</v>
      </c>
      <c r="P27" s="1">
        <v>5</v>
      </c>
      <c r="Q27" s="1">
        <v>5</v>
      </c>
      <c r="R27" s="8">
        <f t="shared" si="0"/>
        <v>5</v>
      </c>
      <c r="S27" s="14">
        <f t="shared" si="1"/>
        <v>0</v>
      </c>
      <c r="T27" s="8">
        <f t="shared" si="2"/>
        <v>5</v>
      </c>
      <c r="U27" s="8">
        <f t="shared" si="3"/>
        <v>20</v>
      </c>
      <c r="V27" s="1">
        <f t="shared" si="4"/>
        <v>4.8</v>
      </c>
      <c r="W27" s="1">
        <f t="shared" si="5"/>
        <v>0.44721359549995787</v>
      </c>
      <c r="X27" s="1">
        <f t="shared" si="6"/>
        <v>5</v>
      </c>
      <c r="Y27" s="1">
        <f t="shared" si="7"/>
        <v>24</v>
      </c>
      <c r="Z27" s="1">
        <f t="shared" si="8"/>
        <v>5</v>
      </c>
      <c r="AA27" s="1">
        <f t="shared" si="9"/>
        <v>0</v>
      </c>
      <c r="AB27" s="1">
        <f t="shared" si="10"/>
        <v>5</v>
      </c>
      <c r="AC27" s="1">
        <f t="shared" si="11"/>
        <v>15</v>
      </c>
      <c r="AD27" s="1">
        <f t="shared" si="12"/>
        <v>5</v>
      </c>
      <c r="AE27" s="1">
        <f t="shared" si="13"/>
        <v>0</v>
      </c>
      <c r="AF27" s="1">
        <f t="shared" si="14"/>
        <v>5</v>
      </c>
      <c r="AG27" s="1">
        <f t="shared" si="15"/>
        <v>20</v>
      </c>
      <c r="AH27" s="9">
        <f t="shared" si="16"/>
        <v>5</v>
      </c>
      <c r="AI27" s="1">
        <f t="shared" si="17"/>
        <v>0</v>
      </c>
      <c r="AJ27" s="1">
        <f t="shared" si="18"/>
        <v>5</v>
      </c>
      <c r="AK27" s="1">
        <f t="shared" si="19"/>
        <v>79</v>
      </c>
    </row>
    <row r="28" spans="1:37">
      <c r="A28" s="1">
        <v>24</v>
      </c>
      <c r="B28" s="1">
        <v>4</v>
      </c>
      <c r="C28" s="1">
        <v>5</v>
      </c>
      <c r="D28" s="1">
        <v>4</v>
      </c>
      <c r="E28" s="1">
        <v>5</v>
      </c>
      <c r="F28" s="1">
        <v>5</v>
      </c>
      <c r="G28" s="1">
        <v>5</v>
      </c>
      <c r="H28" s="1">
        <v>5</v>
      </c>
      <c r="I28" s="1">
        <v>5</v>
      </c>
      <c r="J28" s="1">
        <v>4</v>
      </c>
      <c r="K28" s="1">
        <v>5</v>
      </c>
      <c r="L28" s="1">
        <v>5</v>
      </c>
      <c r="M28" s="1">
        <v>5</v>
      </c>
      <c r="N28" s="1">
        <v>5</v>
      </c>
      <c r="O28" s="1">
        <v>4</v>
      </c>
      <c r="P28" s="1">
        <v>5</v>
      </c>
      <c r="Q28" s="1">
        <v>5</v>
      </c>
      <c r="R28" s="8">
        <f t="shared" si="0"/>
        <v>4.5</v>
      </c>
      <c r="S28" s="14">
        <f t="shared" si="1"/>
        <v>0.57735026918962573</v>
      </c>
      <c r="T28" s="8">
        <f t="shared" si="2"/>
        <v>4.5</v>
      </c>
      <c r="U28" s="8">
        <f t="shared" si="3"/>
        <v>18</v>
      </c>
      <c r="V28" s="1">
        <f t="shared" si="4"/>
        <v>4.8</v>
      </c>
      <c r="W28" s="1">
        <f t="shared" si="5"/>
        <v>0.44721359549995787</v>
      </c>
      <c r="X28" s="1">
        <f t="shared" si="6"/>
        <v>5</v>
      </c>
      <c r="Y28" s="1">
        <f t="shared" si="7"/>
        <v>24</v>
      </c>
      <c r="Z28" s="1">
        <f t="shared" si="8"/>
        <v>5</v>
      </c>
      <c r="AA28" s="1">
        <f t="shared" si="9"/>
        <v>0</v>
      </c>
      <c r="AB28" s="1">
        <f t="shared" si="10"/>
        <v>5</v>
      </c>
      <c r="AC28" s="1">
        <f t="shared" si="11"/>
        <v>15</v>
      </c>
      <c r="AD28" s="1">
        <f t="shared" si="12"/>
        <v>4.75</v>
      </c>
      <c r="AE28" s="1">
        <f t="shared" si="13"/>
        <v>0.5</v>
      </c>
      <c r="AF28" s="1">
        <f t="shared" si="14"/>
        <v>5</v>
      </c>
      <c r="AG28" s="1">
        <f t="shared" si="15"/>
        <v>19</v>
      </c>
      <c r="AH28" s="9">
        <f t="shared" si="16"/>
        <v>4.5</v>
      </c>
      <c r="AI28" s="1">
        <f t="shared" si="17"/>
        <v>0.70710678118654757</v>
      </c>
      <c r="AJ28" s="1">
        <f t="shared" si="18"/>
        <v>4.5</v>
      </c>
      <c r="AK28" s="1">
        <f t="shared" si="19"/>
        <v>76</v>
      </c>
    </row>
    <row r="29" spans="1:37">
      <c r="A29" s="1">
        <v>25</v>
      </c>
      <c r="B29" s="1">
        <v>5</v>
      </c>
      <c r="C29" s="1">
        <v>5</v>
      </c>
      <c r="D29" s="1">
        <v>3</v>
      </c>
      <c r="E29" s="1">
        <v>4</v>
      </c>
      <c r="F29" s="1">
        <v>3</v>
      </c>
      <c r="G29" s="1">
        <v>4</v>
      </c>
      <c r="H29" s="1">
        <v>4</v>
      </c>
      <c r="I29" s="1">
        <v>4</v>
      </c>
      <c r="J29" s="1">
        <v>5</v>
      </c>
      <c r="K29" s="1">
        <v>5</v>
      </c>
      <c r="L29" s="1">
        <v>4</v>
      </c>
      <c r="M29" s="1">
        <v>4</v>
      </c>
      <c r="N29" s="1">
        <v>4</v>
      </c>
      <c r="O29" s="1">
        <v>4</v>
      </c>
      <c r="P29" s="1">
        <v>3</v>
      </c>
      <c r="Q29" s="1">
        <v>3</v>
      </c>
      <c r="R29" s="8">
        <f t="shared" si="0"/>
        <v>5</v>
      </c>
      <c r="S29" s="14">
        <f t="shared" si="1"/>
        <v>0</v>
      </c>
      <c r="T29" s="8">
        <f t="shared" si="2"/>
        <v>5</v>
      </c>
      <c r="U29" s="8">
        <f t="shared" si="3"/>
        <v>20</v>
      </c>
      <c r="V29" s="1">
        <f t="shared" si="4"/>
        <v>3.6</v>
      </c>
      <c r="W29" s="1">
        <f t="shared" si="5"/>
        <v>0.54772255750516674</v>
      </c>
      <c r="X29" s="1">
        <f t="shared" si="6"/>
        <v>4</v>
      </c>
      <c r="Y29" s="1">
        <f t="shared" si="7"/>
        <v>18</v>
      </c>
      <c r="Z29" s="1">
        <f t="shared" si="8"/>
        <v>4</v>
      </c>
      <c r="AA29" s="1">
        <f t="shared" si="9"/>
        <v>0</v>
      </c>
      <c r="AB29" s="1">
        <f t="shared" si="10"/>
        <v>4</v>
      </c>
      <c r="AC29" s="1">
        <f t="shared" si="11"/>
        <v>12</v>
      </c>
      <c r="AD29" s="1">
        <f t="shared" si="12"/>
        <v>3.5</v>
      </c>
      <c r="AE29" s="1">
        <f t="shared" si="13"/>
        <v>0.57735026918962573</v>
      </c>
      <c r="AF29" s="1">
        <f t="shared" si="14"/>
        <v>3.5</v>
      </c>
      <c r="AG29" s="1">
        <f t="shared" si="15"/>
        <v>14</v>
      </c>
      <c r="AH29" s="9">
        <f t="shared" si="16"/>
        <v>4</v>
      </c>
      <c r="AI29" s="1">
        <f t="shared" si="17"/>
        <v>1.4142135623730951</v>
      </c>
      <c r="AJ29" s="1">
        <f t="shared" si="18"/>
        <v>4</v>
      </c>
      <c r="AK29" s="1">
        <f t="shared" si="19"/>
        <v>64</v>
      </c>
    </row>
    <row r="30" spans="1:37">
      <c r="A30" s="1">
        <v>26</v>
      </c>
      <c r="B30" s="1">
        <v>3</v>
      </c>
      <c r="C30" s="1">
        <v>4</v>
      </c>
      <c r="D30" s="1">
        <v>3</v>
      </c>
      <c r="E30" s="1">
        <v>4</v>
      </c>
      <c r="F30" s="1">
        <v>4</v>
      </c>
      <c r="G30" s="1">
        <v>4</v>
      </c>
      <c r="H30" s="1">
        <v>3</v>
      </c>
      <c r="I30" s="1">
        <v>4</v>
      </c>
      <c r="J30" s="1">
        <v>2</v>
      </c>
      <c r="K30" s="1">
        <v>3</v>
      </c>
      <c r="L30" s="1">
        <v>4</v>
      </c>
      <c r="M30" s="1">
        <v>3</v>
      </c>
      <c r="N30" s="1">
        <v>4</v>
      </c>
      <c r="O30" s="1">
        <v>5</v>
      </c>
      <c r="P30" s="1">
        <v>3</v>
      </c>
      <c r="Q30" s="1">
        <v>1</v>
      </c>
      <c r="R30" s="8">
        <f t="shared" si="0"/>
        <v>3</v>
      </c>
      <c r="S30" s="14">
        <f t="shared" si="1"/>
        <v>0.81649658092772603</v>
      </c>
      <c r="T30" s="8">
        <f t="shared" si="2"/>
        <v>3</v>
      </c>
      <c r="U30" s="8">
        <f t="shared" si="3"/>
        <v>12</v>
      </c>
      <c r="V30" s="1">
        <f t="shared" si="4"/>
        <v>3.6</v>
      </c>
      <c r="W30" s="1">
        <f t="shared" si="5"/>
        <v>0.54772255750516674</v>
      </c>
      <c r="X30" s="1">
        <f t="shared" si="6"/>
        <v>4</v>
      </c>
      <c r="Y30" s="1">
        <f t="shared" si="7"/>
        <v>18</v>
      </c>
      <c r="Z30" s="1">
        <f t="shared" si="8"/>
        <v>3.6666666666666665</v>
      </c>
      <c r="AA30" s="1">
        <f t="shared" si="9"/>
        <v>0.57735026918962473</v>
      </c>
      <c r="AB30" s="1">
        <f t="shared" si="10"/>
        <v>4</v>
      </c>
      <c r="AC30" s="1">
        <f t="shared" si="11"/>
        <v>11</v>
      </c>
      <c r="AD30" s="1">
        <f t="shared" si="12"/>
        <v>3.25</v>
      </c>
      <c r="AE30" s="1">
        <f t="shared" si="13"/>
        <v>1.707825127659933</v>
      </c>
      <c r="AF30" s="1">
        <f t="shared" si="14"/>
        <v>3.5</v>
      </c>
      <c r="AG30" s="1">
        <f t="shared" si="15"/>
        <v>13</v>
      </c>
      <c r="AH30" s="9">
        <f t="shared" si="16"/>
        <v>2</v>
      </c>
      <c r="AI30" s="1">
        <f t="shared" si="17"/>
        <v>1.4142135623730951</v>
      </c>
      <c r="AJ30" s="1">
        <f t="shared" si="18"/>
        <v>2</v>
      </c>
      <c r="AK30" s="1">
        <f t="shared" si="19"/>
        <v>54</v>
      </c>
    </row>
    <row r="31" spans="1:37">
      <c r="A31" s="1">
        <v>27</v>
      </c>
      <c r="B31" s="1">
        <v>1</v>
      </c>
      <c r="C31" s="1">
        <v>5</v>
      </c>
      <c r="D31" s="1">
        <v>4</v>
      </c>
      <c r="E31" s="1">
        <v>3</v>
      </c>
      <c r="F31" s="1">
        <v>4</v>
      </c>
      <c r="G31" s="1">
        <v>3</v>
      </c>
      <c r="H31" s="1">
        <v>3</v>
      </c>
      <c r="I31" s="1">
        <v>4</v>
      </c>
      <c r="J31" s="1">
        <v>3</v>
      </c>
      <c r="K31" s="1">
        <v>5</v>
      </c>
      <c r="L31" s="1">
        <v>4</v>
      </c>
      <c r="M31" s="1">
        <v>4</v>
      </c>
      <c r="N31" s="1">
        <v>5</v>
      </c>
      <c r="O31" s="1">
        <v>4</v>
      </c>
      <c r="P31" s="1">
        <v>3</v>
      </c>
      <c r="Q31" s="1">
        <v>4</v>
      </c>
      <c r="R31" s="8">
        <f t="shared" si="0"/>
        <v>3.5</v>
      </c>
      <c r="S31" s="14">
        <f t="shared" si="1"/>
        <v>1.9148542155126762</v>
      </c>
      <c r="T31" s="8">
        <f t="shared" si="2"/>
        <v>4</v>
      </c>
      <c r="U31" s="8">
        <f t="shared" si="3"/>
        <v>14</v>
      </c>
      <c r="V31" s="1">
        <f t="shared" si="4"/>
        <v>3.4</v>
      </c>
      <c r="W31" s="1">
        <f t="shared" si="5"/>
        <v>0.54772255750516674</v>
      </c>
      <c r="X31" s="1">
        <f t="shared" si="6"/>
        <v>3</v>
      </c>
      <c r="Y31" s="1">
        <f t="shared" si="7"/>
        <v>17</v>
      </c>
      <c r="Z31" s="1">
        <f t="shared" si="8"/>
        <v>4</v>
      </c>
      <c r="AA31" s="1">
        <f t="shared" si="9"/>
        <v>0</v>
      </c>
      <c r="AB31" s="1">
        <f t="shared" si="10"/>
        <v>4</v>
      </c>
      <c r="AC31" s="1">
        <f t="shared" si="11"/>
        <v>12</v>
      </c>
      <c r="AD31" s="1">
        <f t="shared" si="12"/>
        <v>4</v>
      </c>
      <c r="AE31" s="1">
        <f t="shared" si="13"/>
        <v>0.81649658092772603</v>
      </c>
      <c r="AF31" s="1">
        <f t="shared" si="14"/>
        <v>4</v>
      </c>
      <c r="AG31" s="1">
        <f t="shared" si="15"/>
        <v>16</v>
      </c>
      <c r="AH31" s="9">
        <f t="shared" si="16"/>
        <v>2.5</v>
      </c>
      <c r="AI31" s="1">
        <f t="shared" si="17"/>
        <v>2.1213203435596424</v>
      </c>
      <c r="AJ31" s="1">
        <f t="shared" si="18"/>
        <v>2.5</v>
      </c>
      <c r="AK31" s="1">
        <f t="shared" si="19"/>
        <v>59</v>
      </c>
    </row>
    <row r="32" spans="1:37">
      <c r="A32" s="1">
        <v>28</v>
      </c>
      <c r="B32" s="1">
        <v>3</v>
      </c>
      <c r="C32" s="1">
        <v>5</v>
      </c>
      <c r="D32" s="1">
        <v>3</v>
      </c>
      <c r="E32" s="1">
        <v>4</v>
      </c>
      <c r="F32" s="1">
        <v>5</v>
      </c>
      <c r="G32" s="1">
        <v>4</v>
      </c>
      <c r="H32" s="1">
        <v>4</v>
      </c>
      <c r="I32" s="1">
        <v>3</v>
      </c>
      <c r="J32" s="1">
        <v>2</v>
      </c>
      <c r="K32" s="1">
        <v>2</v>
      </c>
      <c r="L32" s="1">
        <v>4</v>
      </c>
      <c r="M32" s="1">
        <v>4</v>
      </c>
      <c r="N32" s="1">
        <v>4</v>
      </c>
      <c r="O32" s="1">
        <v>3</v>
      </c>
      <c r="P32" s="1">
        <v>3</v>
      </c>
      <c r="Q32" s="1">
        <v>2</v>
      </c>
      <c r="R32" s="8">
        <f t="shared" si="0"/>
        <v>3</v>
      </c>
      <c r="S32" s="14">
        <f t="shared" si="1"/>
        <v>1.4142135623730951</v>
      </c>
      <c r="T32" s="8">
        <f t="shared" si="2"/>
        <v>2.5</v>
      </c>
      <c r="U32" s="8">
        <f t="shared" si="3"/>
        <v>12</v>
      </c>
      <c r="V32" s="1">
        <f t="shared" si="4"/>
        <v>4</v>
      </c>
      <c r="W32" s="1">
        <f t="shared" si="5"/>
        <v>0.70710678118654757</v>
      </c>
      <c r="X32" s="1">
        <f t="shared" si="6"/>
        <v>4</v>
      </c>
      <c r="Y32" s="1">
        <f t="shared" si="7"/>
        <v>20</v>
      </c>
      <c r="Z32" s="1">
        <f t="shared" si="8"/>
        <v>3.6666666666666665</v>
      </c>
      <c r="AA32" s="1">
        <f t="shared" si="9"/>
        <v>0.57735026918962473</v>
      </c>
      <c r="AB32" s="1">
        <f t="shared" si="10"/>
        <v>4</v>
      </c>
      <c r="AC32" s="1">
        <f t="shared" si="11"/>
        <v>11</v>
      </c>
      <c r="AD32" s="1">
        <f t="shared" si="12"/>
        <v>3</v>
      </c>
      <c r="AE32" s="1">
        <f t="shared" si="13"/>
        <v>0.81649658092772603</v>
      </c>
      <c r="AF32" s="1">
        <f t="shared" si="14"/>
        <v>3</v>
      </c>
      <c r="AG32" s="1">
        <f>SUM(N32:Q32)</f>
        <v>12</v>
      </c>
      <c r="AH32" s="9">
        <f t="shared" si="16"/>
        <v>2.5</v>
      </c>
      <c r="AI32" s="1">
        <f t="shared" si="17"/>
        <v>0.70710678118654757</v>
      </c>
      <c r="AJ32" s="1">
        <f t="shared" si="18"/>
        <v>2.5</v>
      </c>
      <c r="AK32" s="1">
        <f t="shared" si="19"/>
        <v>55</v>
      </c>
    </row>
    <row r="33" spans="1:37">
      <c r="A33" s="1">
        <v>29</v>
      </c>
      <c r="B33" s="1">
        <v>5</v>
      </c>
      <c r="C33" s="1">
        <v>4</v>
      </c>
      <c r="D33" s="1">
        <v>5</v>
      </c>
      <c r="E33" s="1">
        <v>5</v>
      </c>
      <c r="F33" s="1">
        <v>5</v>
      </c>
      <c r="G33" s="1">
        <v>5</v>
      </c>
      <c r="H33" s="1">
        <v>5</v>
      </c>
      <c r="I33" s="1">
        <v>4</v>
      </c>
      <c r="J33" s="1">
        <v>4</v>
      </c>
      <c r="K33" s="1">
        <v>4</v>
      </c>
      <c r="L33" s="1">
        <v>4</v>
      </c>
      <c r="M33" s="1">
        <v>4</v>
      </c>
      <c r="N33" s="1">
        <v>5</v>
      </c>
      <c r="O33" s="1">
        <v>3</v>
      </c>
      <c r="P33" s="1">
        <v>4</v>
      </c>
      <c r="Q33" s="1">
        <v>3</v>
      </c>
      <c r="R33" s="8">
        <f t="shared" si="0"/>
        <v>4.25</v>
      </c>
      <c r="S33" s="14">
        <f t="shared" si="1"/>
        <v>0.5</v>
      </c>
      <c r="T33" s="8">
        <f t="shared" si="2"/>
        <v>4</v>
      </c>
      <c r="U33" s="8">
        <f t="shared" si="3"/>
        <v>17</v>
      </c>
      <c r="V33" s="1">
        <f t="shared" si="4"/>
        <v>5</v>
      </c>
      <c r="W33" s="1">
        <f t="shared" si="5"/>
        <v>0</v>
      </c>
      <c r="X33" s="1">
        <f t="shared" si="6"/>
        <v>5</v>
      </c>
      <c r="Y33" s="1">
        <f t="shared" si="7"/>
        <v>25</v>
      </c>
      <c r="Z33" s="1">
        <f t="shared" si="8"/>
        <v>4</v>
      </c>
      <c r="AA33" s="1">
        <f t="shared" si="9"/>
        <v>0</v>
      </c>
      <c r="AB33" s="1">
        <f t="shared" si="10"/>
        <v>4</v>
      </c>
      <c r="AC33" s="1">
        <f t="shared" si="11"/>
        <v>12</v>
      </c>
      <c r="AD33" s="1">
        <f t="shared" si="12"/>
        <v>3.75</v>
      </c>
      <c r="AE33" s="1">
        <f t="shared" si="13"/>
        <v>0.9574271077563381</v>
      </c>
      <c r="AF33" s="1">
        <f t="shared" si="14"/>
        <v>3.5</v>
      </c>
      <c r="AG33" s="1">
        <f t="shared" si="15"/>
        <v>15</v>
      </c>
      <c r="AH33" s="9">
        <f t="shared" si="16"/>
        <v>4</v>
      </c>
      <c r="AI33" s="1">
        <f t="shared" si="17"/>
        <v>1.4142135623730951</v>
      </c>
      <c r="AJ33" s="1">
        <f t="shared" si="18"/>
        <v>4</v>
      </c>
      <c r="AK33" s="1">
        <f t="shared" si="19"/>
        <v>69</v>
      </c>
    </row>
    <row r="34" spans="1:37">
      <c r="A34" s="1">
        <v>30</v>
      </c>
      <c r="B34" s="1">
        <v>5</v>
      </c>
      <c r="C34" s="1">
        <v>5</v>
      </c>
      <c r="D34" s="1">
        <v>3</v>
      </c>
      <c r="E34" s="1">
        <v>4</v>
      </c>
      <c r="F34" s="1">
        <v>3</v>
      </c>
      <c r="G34" s="1">
        <v>3</v>
      </c>
      <c r="H34" s="1">
        <v>2</v>
      </c>
      <c r="I34" s="1">
        <v>2</v>
      </c>
      <c r="J34" s="1">
        <v>5</v>
      </c>
      <c r="K34" s="1">
        <v>5</v>
      </c>
      <c r="L34" s="1">
        <v>5</v>
      </c>
      <c r="M34" s="1">
        <v>3</v>
      </c>
      <c r="N34" s="1">
        <v>3</v>
      </c>
      <c r="O34" s="1">
        <v>2</v>
      </c>
      <c r="P34" s="1">
        <v>2</v>
      </c>
      <c r="Q34" s="1">
        <v>5</v>
      </c>
      <c r="R34" s="8">
        <f t="shared" si="0"/>
        <v>5</v>
      </c>
      <c r="S34" s="14">
        <f t="shared" si="1"/>
        <v>0</v>
      </c>
      <c r="T34" s="8">
        <f t="shared" si="2"/>
        <v>5</v>
      </c>
      <c r="U34" s="8">
        <f t="shared" si="3"/>
        <v>20</v>
      </c>
      <c r="V34" s="1">
        <f t="shared" si="4"/>
        <v>3</v>
      </c>
      <c r="W34" s="1">
        <f t="shared" si="5"/>
        <v>0.70710678118654757</v>
      </c>
      <c r="X34" s="1">
        <f t="shared" si="6"/>
        <v>3</v>
      </c>
      <c r="Y34" s="1">
        <f t="shared" si="7"/>
        <v>15</v>
      </c>
      <c r="Z34" s="1">
        <f t="shared" si="8"/>
        <v>3.3333333333333335</v>
      </c>
      <c r="AA34" s="1">
        <f t="shared" si="9"/>
        <v>1.5275252316519463</v>
      </c>
      <c r="AB34" s="1">
        <f t="shared" si="10"/>
        <v>3</v>
      </c>
      <c r="AC34" s="1">
        <f t="shared" si="11"/>
        <v>10</v>
      </c>
      <c r="AD34" s="1">
        <f t="shared" si="12"/>
        <v>3</v>
      </c>
      <c r="AE34" s="1">
        <f t="shared" si="13"/>
        <v>1.4142135623730951</v>
      </c>
      <c r="AF34" s="1">
        <f t="shared" si="14"/>
        <v>2.5</v>
      </c>
      <c r="AG34" s="1">
        <f t="shared" si="15"/>
        <v>12</v>
      </c>
      <c r="AH34" s="9">
        <f t="shared" si="16"/>
        <v>5</v>
      </c>
      <c r="AI34" s="1">
        <f t="shared" si="17"/>
        <v>0</v>
      </c>
      <c r="AJ34" s="1">
        <f t="shared" si="18"/>
        <v>5</v>
      </c>
      <c r="AK34" s="1">
        <f t="shared" si="19"/>
        <v>57</v>
      </c>
    </row>
    <row r="35" spans="1:37">
      <c r="A35" s="1">
        <v>31</v>
      </c>
      <c r="B35" s="1">
        <v>5</v>
      </c>
      <c r="C35" s="1">
        <v>3</v>
      </c>
      <c r="D35" s="1">
        <v>4</v>
      </c>
      <c r="E35" s="1">
        <v>4</v>
      </c>
      <c r="F35" s="1">
        <v>3</v>
      </c>
      <c r="G35" s="1">
        <v>3</v>
      </c>
      <c r="H35" s="1">
        <v>4</v>
      </c>
      <c r="I35" s="1">
        <v>4</v>
      </c>
      <c r="J35" s="1">
        <v>3</v>
      </c>
      <c r="K35" s="1">
        <v>4</v>
      </c>
      <c r="L35" s="1">
        <v>3</v>
      </c>
      <c r="M35" s="1">
        <v>4</v>
      </c>
      <c r="N35" s="1">
        <v>4</v>
      </c>
      <c r="O35" s="1">
        <v>3</v>
      </c>
      <c r="P35" s="1">
        <v>4</v>
      </c>
      <c r="Q35" s="1">
        <v>4</v>
      </c>
      <c r="R35" s="8">
        <f t="shared" ref="R35" si="20">IF(COUNT(B35,C35,J35,K35)=0,0,AVERAGE(B35,C35,J35,K35))</f>
        <v>3.75</v>
      </c>
      <c r="S35" s="14">
        <f t="shared" ref="S35" si="21">IF(COUNT(B35,C35,J35,K35)=0,0,_xlfn.STDEV.S(B35,C35,J35,K35))</f>
        <v>0.9574271077563381</v>
      </c>
      <c r="T35" s="8">
        <f t="shared" ref="T35" si="22">IF(COUNT(B35,C35,J35,K35)=0,0,MEDIAN(B35,C35,J35,K35))</f>
        <v>3.5</v>
      </c>
      <c r="U35" s="8">
        <f t="shared" ref="U35" si="23">SUM(B35,C35,J35,K35)</f>
        <v>15</v>
      </c>
      <c r="V35" s="1">
        <f t="shared" ref="V35" si="24">IF(COUNT(D35:H35)=0,0,AVERAGE(D35:H35))</f>
        <v>3.6</v>
      </c>
      <c r="W35" s="1">
        <f t="shared" ref="W35" si="25">IF(COUNT(D35:H35)=0,0,_xlfn.STDEV.S(D35:H35))</f>
        <v>0.54772255750516674</v>
      </c>
      <c r="X35" s="1">
        <f t="shared" ref="X35" si="26">IF(COUNT(D35:H35)=0,0,MEDIAN(D35:H35))</f>
        <v>4</v>
      </c>
      <c r="Y35" s="1">
        <f t="shared" ref="Y35" si="27">SUM(D35:H35)</f>
        <v>18</v>
      </c>
      <c r="Z35" s="1">
        <f t="shared" ref="Z35" si="28">IF(COUNT(I35,L35,M35)=0,0,AVERAGE(I35,L35,M35))</f>
        <v>3.6666666666666665</v>
      </c>
      <c r="AA35" s="1">
        <f t="shared" ref="AA35" si="29">IF(COUNT(I35,L35,M35)=0,0,_xlfn.STDEV.S(I35,L35,M35))</f>
        <v>0.57735026918962473</v>
      </c>
      <c r="AB35" s="1">
        <f t="shared" ref="AB35" si="30">IF(COUNT(I35,L35,M35)=0,0,MEDIAN(I35,L35,M35))</f>
        <v>4</v>
      </c>
      <c r="AC35" s="1">
        <f t="shared" ref="AC35" si="31">SUM(I35,L35,M35)</f>
        <v>11</v>
      </c>
      <c r="AD35" s="1">
        <f t="shared" ref="AD35" si="32">IF(COUNT(N35:Q35)=0,0,AVERAGE(N35:Q35))</f>
        <v>3.75</v>
      </c>
      <c r="AE35" s="1">
        <f t="shared" ref="AE35" si="33">IF(COUNT(N35:Q35)=0,0,_xlfn.STDEV.S(N35:Q35))</f>
        <v>0.5</v>
      </c>
      <c r="AF35" s="1">
        <f t="shared" ref="AF35" si="34">IF(COUNT(N35:Q35)=0,0,MEDIAN(N35:Q35))</f>
        <v>4</v>
      </c>
      <c r="AG35" s="1">
        <f t="shared" ref="AG35" si="35">SUM(N35:Q35)</f>
        <v>15</v>
      </c>
      <c r="AH35" s="9">
        <f t="shared" ref="AH35" si="36">AVERAGE(VALUE(B35),VALUE(Q35))</f>
        <v>4.5</v>
      </c>
      <c r="AI35" s="1">
        <f t="shared" ref="AI35" si="37">IF(COUNT(B35,Q35)=0,0,_xlfn.STDEV.S(B35,Q35))</f>
        <v>0.70710678118654757</v>
      </c>
      <c r="AJ35" s="1">
        <f t="shared" ref="AJ35" si="38">IF(COUNT(B35,Q35)=0,0,MEDIAN(B35,Q35))</f>
        <v>4.5</v>
      </c>
      <c r="AK35" s="1">
        <f t="shared" ref="AK35" si="39">SUM(B35:Q35)</f>
        <v>59</v>
      </c>
    </row>
    <row r="36" spans="1:37" ht="15.75">
      <c r="A36" s="13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6">
        <f>AVERAGE(R5:R35)</f>
        <v>4.467741935483871</v>
      </c>
      <c r="S36" s="16">
        <f>AVERAGE(S5:S35)</f>
        <v>0.44067142257485431</v>
      </c>
      <c r="T36" s="16">
        <f>AVERAGE(T5:T35)</f>
        <v>4.4838709677419351</v>
      </c>
      <c r="U36" s="16">
        <f>IF(_xlfn.VAR.S(U5:U35)=0,"",(4/3)*(1-((_xlfn.VAR.S(B5:B35)+_xlfn.VAR.S(C5:C35)+_xlfn.VAR.S(J5:J35)+_xlfn.VAR.S(K5:K35))/_xlfn.VAR.S(U5:U35))))</f>
        <v>0.7763860568987293</v>
      </c>
      <c r="V36" s="16">
        <f>AVERAGE(V5:V35)</f>
        <v>3.8129032258064517</v>
      </c>
      <c r="W36" s="16">
        <f>AVERAGE(W5:W35)</f>
        <v>0.63422308152383311</v>
      </c>
      <c r="X36" s="16">
        <f>AVERAGE(X5:X35)</f>
        <v>3.806451612903226</v>
      </c>
      <c r="Y36" s="16">
        <f>IF(_xlfn.VAR.S(Y5:Y35)=0,"",(4/3)*(1-((_xlfn.VAR.S(D5:D35)+_xlfn.VAR.S(E5:E35)+_xlfn.VAR.S(F5:F35)+_xlfn.VAR.S(G5:G35)+_xlfn.VAR.S(H5:H35))/_xlfn.VAR.S(Y5:Y35))))</f>
        <v>0.87930499534595108</v>
      </c>
      <c r="Z36" s="16">
        <f>AVERAGE(Z5:Z35)</f>
        <v>3.8709677419354844</v>
      </c>
      <c r="AA36" s="16">
        <f>AVERAGE(AA5:AA35)</f>
        <v>0.43539291439531713</v>
      </c>
      <c r="AB36" s="16">
        <f>AVERAGE(AB5:AB35)</f>
        <v>3.935483870967742</v>
      </c>
      <c r="AC36" s="16">
        <f>IF(_xlfn.VAR.S(AC5:AC35)=0,"",(3/2)*(1-((_xlfn.VAR.S(I5:I35)+_xlfn.VAR.S(L5:L35)+_xlfn.VAR.S(M5:M35))/_xlfn.VAR.S(AC5:AC35))))</f>
        <v>0.83752166377816206</v>
      </c>
      <c r="AD36" s="16">
        <f>AVERAGE(AD5:AD35)</f>
        <v>3.524193548387097</v>
      </c>
      <c r="AE36" s="16">
        <f>AVERAGE(AE5:AE35)</f>
        <v>0.6745386214608462</v>
      </c>
      <c r="AF36" s="16">
        <f>AVERAGE(AF5:AF35)</f>
        <v>3.564516129032258</v>
      </c>
      <c r="AG36" s="16">
        <f>IF(_xlfn.VAR.S(AG5:AG35)=0,"",(4/3)*(1-((_xlfn.VAR.S(N5:N35)+_xlfn.VAR.S(O5:O35)+_xlfn.VAR.S(P5:P35)+_xlfn.VAR.S(Q5:Q35))/_xlfn.VAR.S(AG5:AG35))))</f>
        <v>0.845746845746846</v>
      </c>
      <c r="AH36" s="16">
        <f>AVERAGE(AH5:AH35)</f>
        <v>3.806451612903226</v>
      </c>
      <c r="AI36" s="16">
        <f>AVERAGE(AI5:AI35)</f>
        <v>1.1404948083653992</v>
      </c>
      <c r="AJ36" s="16">
        <f>AVERAGE(AJ5:AJ35)</f>
        <v>3.806451612903226</v>
      </c>
      <c r="AK36" s="16">
        <f>IF(_xlfn.VAR.S(AK5:AK35)=0,"",(16/15)*(1-((_xlfn.VAR.S(B5:B35)+_xlfn.VAR.S(C5:C35)+_xlfn.VAR.S(D5:D35)+_xlfn.VAR.S(E5:E35)+_xlfn.VAR.S(F5:F35)+_xlfn.VAR.S(G5:G35)+_xlfn.VAR.S(H5:H35)+_xlfn.VAR.S(I5:I35)+_xlfn.VAR.S(J5:J35)+_xlfn.VAR.S(K5:K35)+_xlfn.VAR.S(L5:L35)+_xlfn.VAR.S(M5:M35)+_xlfn.VAR.S(N5:N35)+_xlfn.VAR.S(O5:O35)+_xlfn.VAR.S(P5:P35)+_xlfn.VAR.S(Q5:Q35))/_xlfn.VAR.S(AK5:AK35))))</f>
        <v>0.87406699174554581</v>
      </c>
    </row>
    <row r="37" spans="1:37" ht="15.7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8"/>
      <c r="S37" s="8"/>
      <c r="T37" s="8"/>
      <c r="U37" s="8" t="str">
        <f>IF(U36&gt;=0.9,"Excellent",
 IF(U36&gt;=0.8,"Good",
 IF(U36&gt;=0.7,"Acceptable",
 IF(U36&gt;=0.6,"Questionable",
 IF(U36&gt;=0.5,"Poor",
 "Unacceptable")))))</f>
        <v>Acceptable</v>
      </c>
      <c r="V37" s="8"/>
      <c r="W37" s="8"/>
      <c r="X37" s="8"/>
      <c r="Y37" s="8" t="str">
        <f>IF(Y36&gt;=0.9,"Excellent",
 IF(Y36&gt;=0.8,"Good",
 IF(Y36&gt;=0.7,"Acceptable",
 IF(Y36&gt;=0.6,"Questionable",
 IF(Y36&gt;=0.5,"Poor",
 "Unacceptable")))))</f>
        <v>Good</v>
      </c>
      <c r="Z37" s="8"/>
      <c r="AA37" s="8"/>
      <c r="AB37" s="8"/>
      <c r="AC37" s="8" t="str">
        <f>IF(AC36&gt;=0.9,"Excellent",
 IF(AC36&gt;=0.8,"Good",
 IF(AC36&gt;=0.7,"Acceptable",
 IF(AC36&gt;=0.6,"Questionable",
 IF(AC36&gt;=0.5,"Poor",
 "Unacceptable")))))</f>
        <v>Good</v>
      </c>
      <c r="AD37" s="8"/>
      <c r="AE37" s="8"/>
      <c r="AF37" s="8"/>
      <c r="AG37" s="8" t="str">
        <f>IF(AG36&gt;=0.9,"Excellent",
 IF(AG36&gt;=0.8,"Good",
 IF(AG36&gt;=0.7,"Acceptable",
 IF(AG36&gt;=0.6,"Questionable",
 IF(AG36&gt;=0.5,"Poor",
 "Unacceptable")))))</f>
        <v>Good</v>
      </c>
      <c r="AH37" s="8"/>
      <c r="AI37" s="8"/>
      <c r="AJ37" s="8"/>
      <c r="AK37" s="8" t="str">
        <f>IF(AK36&gt;=0.9,"Excellent",
 IF(AK36&gt;=0.8,"Good",
 IF(AK36&gt;=0.7,"Acceptable",
 IF(AK36&gt;=0.6,"Questionable",
 IF(AK36&gt;=0.5,"Poor",
 "Unacceptable")))))</f>
        <v>Good</v>
      </c>
    </row>
    <row r="38" spans="1:37" ht="15.75">
      <c r="K38" s="5" t="s">
        <v>133</v>
      </c>
    </row>
    <row r="39" spans="1:37">
      <c r="R39" s="19"/>
      <c r="S39" s="19"/>
      <c r="T39" s="19"/>
      <c r="U39" s="2"/>
      <c r="V39" s="19"/>
      <c r="W39" s="19"/>
      <c r="X39" s="19"/>
      <c r="Y39" s="2"/>
      <c r="Z39" s="19"/>
      <c r="AA39" s="19"/>
      <c r="AB39" s="19"/>
      <c r="AC39" s="2"/>
      <c r="AD39" s="19"/>
      <c r="AE39" s="19"/>
      <c r="AF39" s="19"/>
      <c r="AG39" s="2"/>
      <c r="AH39" s="19"/>
      <c r="AI39" s="19"/>
      <c r="AJ39" s="19"/>
    </row>
    <row r="40" spans="1:37">
      <c r="R40" s="19"/>
      <c r="S40" s="19"/>
      <c r="T40" s="19"/>
      <c r="U40" s="2"/>
      <c r="V40" s="21"/>
      <c r="W40" s="21"/>
      <c r="X40" s="21"/>
      <c r="Y40" s="4"/>
      <c r="Z40" s="19"/>
      <c r="AA40" s="19"/>
      <c r="AB40" s="19"/>
      <c r="AC40" s="2"/>
      <c r="AD40" s="19"/>
      <c r="AE40" s="19"/>
      <c r="AF40" s="19"/>
      <c r="AG40" s="2"/>
      <c r="AH40" s="19"/>
      <c r="AI40" s="19"/>
      <c r="AJ40" s="19"/>
    </row>
    <row r="41" spans="1:37"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spans="1:37">
      <c r="A42" s="1" t="s">
        <v>130</v>
      </c>
      <c r="B42" s="9">
        <f t="shared" ref="B42:Q42" si="40">AVERAGE(B5:B35)</f>
        <v>4.387096774193548</v>
      </c>
      <c r="C42" s="9">
        <f t="shared" si="40"/>
        <v>4.645161290322581</v>
      </c>
      <c r="D42" s="9">
        <f t="shared" si="40"/>
        <v>3.6129032258064515</v>
      </c>
      <c r="E42" s="9">
        <f t="shared" si="40"/>
        <v>3.806451612903226</v>
      </c>
      <c r="F42" s="9">
        <f t="shared" si="40"/>
        <v>4</v>
      </c>
      <c r="G42" s="9">
        <f t="shared" si="40"/>
        <v>4.064516129032258</v>
      </c>
      <c r="H42" s="9">
        <f t="shared" si="40"/>
        <v>3.5806451612903225</v>
      </c>
      <c r="I42" s="9">
        <f t="shared" si="40"/>
        <v>3.6774193548387095</v>
      </c>
      <c r="J42" s="9">
        <f t="shared" si="40"/>
        <v>4.290322580645161</v>
      </c>
      <c r="K42" s="9">
        <f t="shared" si="40"/>
        <v>4.5483870967741939</v>
      </c>
      <c r="L42" s="9">
        <f t="shared" si="40"/>
        <v>3.935483870967742</v>
      </c>
      <c r="M42" s="9">
        <f t="shared" si="40"/>
        <v>4</v>
      </c>
      <c r="N42" s="9">
        <f t="shared" si="40"/>
        <v>3.903225806451613</v>
      </c>
      <c r="O42" s="9">
        <f t="shared" si="40"/>
        <v>3.6129032258064515</v>
      </c>
      <c r="P42" s="9">
        <f t="shared" si="40"/>
        <v>3.3548387096774195</v>
      </c>
      <c r="Q42" s="9">
        <f t="shared" si="40"/>
        <v>3.225806451612903</v>
      </c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</row>
    <row r="43" spans="1:37">
      <c r="A43" s="1" t="s">
        <v>131</v>
      </c>
      <c r="B43" s="1">
        <f t="shared" ref="B43:Q43" si="41">_xlfn.STDEV.S(B5:B35)</f>
        <v>0.95489683054728369</v>
      </c>
      <c r="C43" s="1">
        <f t="shared" si="41"/>
        <v>0.70938410360792115</v>
      </c>
      <c r="D43" s="1">
        <f t="shared" si="41"/>
        <v>0.88232342349952075</v>
      </c>
      <c r="E43" s="1">
        <f t="shared" si="41"/>
        <v>1.077631812160649</v>
      </c>
      <c r="F43" s="1">
        <f t="shared" si="41"/>
        <v>0.89442719099991586</v>
      </c>
      <c r="G43" s="1">
        <f t="shared" si="41"/>
        <v>0.89201957642822105</v>
      </c>
      <c r="H43" s="1">
        <f t="shared" si="41"/>
        <v>1.0885523582075141</v>
      </c>
      <c r="I43" s="1">
        <f t="shared" si="41"/>
        <v>1.0452143886684535</v>
      </c>
      <c r="J43" s="1">
        <f t="shared" si="41"/>
        <v>1.0706243781736826</v>
      </c>
      <c r="K43" s="1">
        <f t="shared" si="41"/>
        <v>0.72289739601224789</v>
      </c>
      <c r="L43" s="1">
        <f t="shared" si="41"/>
        <v>1.0307112065937043</v>
      </c>
      <c r="M43" s="1">
        <f t="shared" si="41"/>
        <v>1.0645812948447542</v>
      </c>
      <c r="N43" s="1">
        <f t="shared" si="41"/>
        <v>1.1359236684941294</v>
      </c>
      <c r="O43" s="1">
        <f t="shared" si="41"/>
        <v>1.0223313016447171</v>
      </c>
      <c r="P43" s="1">
        <f t="shared" si="41"/>
        <v>1.1120068074364235</v>
      </c>
      <c r="Q43" s="1">
        <f t="shared" si="41"/>
        <v>1.2572371141874246</v>
      </c>
      <c r="R43" s="1"/>
      <c r="S43" s="1"/>
      <c r="T43" s="1"/>
      <c r="U43" s="1"/>
      <c r="V43" s="1"/>
      <c r="W43" s="1"/>
      <c r="X43" s="1"/>
      <c r="Z43" s="1"/>
      <c r="AA43" s="1"/>
      <c r="AB43" s="1"/>
      <c r="AD43" s="1"/>
      <c r="AE43" s="1"/>
      <c r="AF43" s="1"/>
      <c r="AH43" s="1"/>
      <c r="AI43" s="1"/>
      <c r="AJ43" s="1"/>
    </row>
    <row r="44" spans="1:37">
      <c r="A44" s="1" t="s">
        <v>132</v>
      </c>
      <c r="B44" s="10">
        <f t="shared" ref="B44:Q44" si="42">MEDIAN(B5:B35)</f>
        <v>5</v>
      </c>
      <c r="C44" s="10">
        <f t="shared" si="42"/>
        <v>5</v>
      </c>
      <c r="D44" s="10">
        <f t="shared" si="42"/>
        <v>4</v>
      </c>
      <c r="E44" s="10">
        <f t="shared" si="42"/>
        <v>4</v>
      </c>
      <c r="F44" s="10">
        <f t="shared" si="42"/>
        <v>4</v>
      </c>
      <c r="G44" s="10">
        <f t="shared" si="42"/>
        <v>4</v>
      </c>
      <c r="H44" s="10">
        <f t="shared" si="42"/>
        <v>4</v>
      </c>
      <c r="I44" s="10">
        <f t="shared" si="42"/>
        <v>4</v>
      </c>
      <c r="J44" s="10">
        <f t="shared" si="42"/>
        <v>5</v>
      </c>
      <c r="K44" s="10">
        <f t="shared" si="42"/>
        <v>5</v>
      </c>
      <c r="L44" s="10">
        <f t="shared" si="42"/>
        <v>4</v>
      </c>
      <c r="M44" s="10">
        <f t="shared" si="42"/>
        <v>4</v>
      </c>
      <c r="N44" s="10">
        <f t="shared" si="42"/>
        <v>4</v>
      </c>
      <c r="O44" s="10">
        <f t="shared" si="42"/>
        <v>4</v>
      </c>
      <c r="P44" s="10">
        <f t="shared" si="42"/>
        <v>3</v>
      </c>
      <c r="Q44" s="10">
        <f t="shared" si="42"/>
        <v>3</v>
      </c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</row>
    <row r="45" spans="1:37">
      <c r="A45" s="1" t="s">
        <v>134</v>
      </c>
      <c r="B45" s="1" t="s">
        <v>135</v>
      </c>
      <c r="C45" s="1" t="s">
        <v>135</v>
      </c>
      <c r="D45" s="1">
        <v>2E-3</v>
      </c>
      <c r="E45" s="1">
        <v>2E-3</v>
      </c>
      <c r="F45" s="1" t="s">
        <v>135</v>
      </c>
      <c r="G45" s="1" t="s">
        <v>135</v>
      </c>
      <c r="H45" s="1">
        <v>8.9999999999999993E-3</v>
      </c>
      <c r="I45" s="1">
        <v>3.0000000000000001E-3</v>
      </c>
      <c r="J45" s="1" t="s">
        <v>135</v>
      </c>
      <c r="K45" s="1" t="s">
        <v>135</v>
      </c>
      <c r="L45" s="1" t="s">
        <v>135</v>
      </c>
      <c r="M45" s="1" t="s">
        <v>135</v>
      </c>
      <c r="N45" s="1" t="s">
        <v>135</v>
      </c>
      <c r="O45" s="1">
        <v>4.0000000000000001E-3</v>
      </c>
      <c r="P45" s="1">
        <v>9.5000000000000001E-2</v>
      </c>
      <c r="Q45" s="1">
        <v>0.374</v>
      </c>
    </row>
  </sheetData>
  <mergeCells count="19">
    <mergeCell ref="AH2:AK3"/>
    <mergeCell ref="R39:T39"/>
    <mergeCell ref="V39:X39"/>
    <mergeCell ref="Z39:AB39"/>
    <mergeCell ref="AD39:AF39"/>
    <mergeCell ref="AH39:AJ40"/>
    <mergeCell ref="R40:T40"/>
    <mergeCell ref="V40:X40"/>
    <mergeCell ref="Z40:AB40"/>
    <mergeCell ref="AD40:AF40"/>
    <mergeCell ref="R2:U2"/>
    <mergeCell ref="R3:U3"/>
    <mergeCell ref="V2:Y2"/>
    <mergeCell ref="A1:P1"/>
    <mergeCell ref="V3:Y3"/>
    <mergeCell ref="Z2:AC2"/>
    <mergeCell ref="Z3:AC3"/>
    <mergeCell ref="AD2:AG2"/>
    <mergeCell ref="AD3:AG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SUS</vt:lpstr>
      <vt:lpstr>ISO 9241-11</vt:lpstr>
      <vt:lpstr>TAM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JOSE LOPEZ JIMENEZ</dc:creator>
  <cp:keywords/>
  <dc:description/>
  <cp:lastModifiedBy>JUAN JOSE LOPEZ JIMENEZ</cp:lastModifiedBy>
  <cp:revision/>
  <dcterms:created xsi:type="dcterms:W3CDTF">2025-11-02T10:20:59Z</dcterms:created>
  <dcterms:modified xsi:type="dcterms:W3CDTF">2025-11-12T19:03:25Z</dcterms:modified>
  <cp:category/>
  <cp:contentStatus/>
</cp:coreProperties>
</file>